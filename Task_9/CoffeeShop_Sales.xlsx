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hidePivotFieldList="1" defaultThemeVersion="166925"/>
  <xr:revisionPtr revIDLastSave="0" documentId="8_{03B059B0-F79E-457D-87E7-C6A5D17CBB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L4" i="1" s="1"/>
  <c r="L1" i="1"/>
</calcChain>
</file>

<file path=xl/sharedStrings.xml><?xml version="1.0" encoding="utf-8"?>
<sst xmlns="http://schemas.openxmlformats.org/spreadsheetml/2006/main" count="57" uniqueCount="27">
  <si>
    <t>Date</t>
  </si>
  <si>
    <t>Drink</t>
  </si>
  <si>
    <t>Quantity</t>
  </si>
  <si>
    <t>Price</t>
  </si>
  <si>
    <t xml:space="preserve">Category </t>
  </si>
  <si>
    <t xml:space="preserve">D_Revenue </t>
  </si>
  <si>
    <t>category list</t>
  </si>
  <si>
    <t>Total quantity sold :</t>
  </si>
  <si>
    <t xml:space="preserve">Espresso </t>
  </si>
  <si>
    <t>Hot Coffee</t>
  </si>
  <si>
    <t>Average price :</t>
  </si>
  <si>
    <t>Iced Mocha</t>
  </si>
  <si>
    <t xml:space="preserve">Cold Coffee </t>
  </si>
  <si>
    <t xml:space="preserve">Number of sales entries </t>
  </si>
  <si>
    <t xml:space="preserve">Cappuccino </t>
  </si>
  <si>
    <t xml:space="preserve">Special Drinks </t>
  </si>
  <si>
    <t>Total Revenue :</t>
  </si>
  <si>
    <t>Latte</t>
  </si>
  <si>
    <t>Iced Salted Caramel Latte</t>
  </si>
  <si>
    <t>Best selling drink:</t>
  </si>
  <si>
    <t>Espresso</t>
  </si>
  <si>
    <t>drink revenue =</t>
  </si>
  <si>
    <t>Iced Latte</t>
  </si>
  <si>
    <t>Iced Vanilla Latte</t>
  </si>
  <si>
    <t>Hot Chocolate</t>
  </si>
  <si>
    <t>Matcha Latte</t>
  </si>
  <si>
    <t>Peach Iced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</si>
</sst>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Border="1"/>
    <xf numFmtId="0" fontId="0" fillId="0" borderId="1" xfId="0" applyBorder="1"/>
    <xf numFmtId="0" fontId="5" fillId="0" borderId="0" xfId="0" applyFont="1"/>
    <xf numFmtId="14" fontId="0" fillId="0" borderId="1" xfId="0" applyNumberFormat="1" applyBorder="1"/>
    <xf numFmtId="14" fontId="2" fillId="0" borderId="1" xfId="0" applyNumberFormat="1" applyFont="1" applyBorder="1"/>
    <xf numFmtId="0" fontId="2" fillId="0" borderId="1" xfId="0" applyFont="1" applyBorder="1"/>
    <xf numFmtId="0" fontId="6" fillId="0" borderId="0" xfId="0" applyFont="1"/>
    <xf numFmtId="0" fontId="4" fillId="0" borderId="2" xfId="0" applyFont="1" applyBorder="1"/>
    <xf numFmtId="0" fontId="1" fillId="0" borderId="2" xfId="0" applyFont="1" applyBorder="1"/>
    <xf numFmtId="0" fontId="0" fillId="0" borderId="3" xfId="0" applyBorder="1"/>
    <xf numFmtId="0" fontId="4" fillId="0" borderId="0" xfId="0" applyFont="1" applyAlignment="1">
      <alignment readingOrder="1"/>
    </xf>
    <xf numFmtId="0" fontId="3" fillId="0" borderId="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quantity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Cappuccino </c:v>
              </c:pt>
              <c:pt idx="1">
                <c:v>Espresso </c:v>
              </c:pt>
              <c:pt idx="2">
                <c:v>Hot Chocolate</c:v>
              </c:pt>
              <c:pt idx="3">
                <c:v>Iced Latte</c:v>
              </c:pt>
              <c:pt idx="4">
                <c:v>Iced Mocha</c:v>
              </c:pt>
              <c:pt idx="5">
                <c:v>Iced Salted Caramel Latte</c:v>
              </c:pt>
              <c:pt idx="6">
                <c:v>Iced Vanilla Latte</c:v>
              </c:pt>
              <c:pt idx="7">
                <c:v>Latte</c:v>
              </c:pt>
              <c:pt idx="8">
                <c:v>Matcha Latte</c:v>
              </c:pt>
              <c:pt idx="9">
                <c:v>Peach Iced Tea</c:v>
              </c:pt>
            </c:strLit>
          </c:cat>
          <c:val>
            <c:numLit>
              <c:formatCode>General</c:formatCode>
              <c:ptCount val="10"/>
              <c:pt idx="0">
                <c:v>8</c:v>
              </c:pt>
              <c:pt idx="1">
                <c:v>32</c:v>
              </c:pt>
              <c:pt idx="2">
                <c:v>11</c:v>
              </c:pt>
              <c:pt idx="3">
                <c:v>10</c:v>
              </c:pt>
              <c:pt idx="4">
                <c:v>25</c:v>
              </c:pt>
              <c:pt idx="5">
                <c:v>24</c:v>
              </c:pt>
              <c:pt idx="6">
                <c:v>9</c:v>
              </c:pt>
              <c:pt idx="7">
                <c:v>13</c:v>
              </c:pt>
              <c:pt idx="8">
                <c:v>12</c:v>
              </c:pt>
              <c:pt idx="9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803C-4423-A48A-A01FBD72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176136"/>
        <c:axId val="1272169480"/>
      </c:barChart>
      <c:catAx>
        <c:axId val="1272176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69480"/>
        <c:crosses val="autoZero"/>
        <c:auto val="1"/>
        <c:lblAlgn val="ctr"/>
        <c:lblOffset val="100"/>
        <c:noMultiLvlLbl val="0"/>
      </c:catAx>
      <c:valAx>
        <c:axId val="1272169480"/>
        <c:scaling>
          <c:orientation val="minMax"/>
          <c:max val="3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7613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21</xdr:row>
      <xdr:rowOff>19050</xdr:rowOff>
    </xdr:from>
    <xdr:to>
      <xdr:col>5</xdr:col>
      <xdr:colOff>1133475</xdr:colOff>
      <xdr:row>38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701367-ED40-E116-2C3B-F2D373337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topLeftCell="A13" workbookViewId="0">
      <selection activeCell="F30" sqref="F30"/>
    </sheetView>
  </sheetViews>
  <sheetFormatPr defaultRowHeight="15"/>
  <cols>
    <col min="2" max="2" width="23" bestFit="1" customWidth="1"/>
    <col min="5" max="5" width="14" customWidth="1"/>
    <col min="6" max="6" width="17.28515625" customWidth="1"/>
    <col min="7" max="7" width="6.42578125" customWidth="1"/>
    <col min="8" max="8" width="5.7109375" customWidth="1"/>
    <col min="9" max="9" width="12.42578125" customWidth="1"/>
    <col min="10" max="10" width="5.42578125" customWidth="1"/>
    <col min="11" max="11" width="21.5703125" customWidth="1"/>
    <col min="12" max="12" width="13" bestFit="1" customWidth="1"/>
    <col min="13" max="13" width="23" bestFit="1" customWidth="1"/>
    <col min="14" max="14" width="15.42578125" bestFit="1" customWidth="1"/>
    <col min="15" max="21" width="2" bestFit="1" customWidth="1"/>
    <col min="22" max="25" width="3" bestFit="1" customWidth="1"/>
    <col min="26" max="26" width="11.42578125" bestFit="1" customWidth="1"/>
  </cols>
  <sheetData>
    <row r="1" spans="1:2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3" t="s">
        <v>5</v>
      </c>
      <c r="I1" s="1" t="s">
        <v>6</v>
      </c>
      <c r="K1" s="10" t="s">
        <v>7</v>
      </c>
      <c r="L1" s="11">
        <f>SUM(C2:C21)</f>
        <v>147</v>
      </c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>
      <c r="A2" s="6">
        <v>46176</v>
      </c>
      <c r="B2" s="4" t="s">
        <v>8</v>
      </c>
      <c r="C2" s="4">
        <v>5</v>
      </c>
      <c r="D2" s="4">
        <v>50</v>
      </c>
      <c r="E2" s="4" t="s">
        <v>9</v>
      </c>
      <c r="F2">
        <f>C2*D2</f>
        <v>250</v>
      </c>
      <c r="I2" s="5" t="s">
        <v>9</v>
      </c>
      <c r="J2" s="5"/>
      <c r="K2" s="3" t="s">
        <v>10</v>
      </c>
      <c r="L2" s="3">
        <f>AVERAGE(D2:D21)</f>
        <v>71.75</v>
      </c>
    </row>
    <row r="3" spans="1:26">
      <c r="A3" s="6">
        <v>46176</v>
      </c>
      <c r="B3" s="4" t="s">
        <v>11</v>
      </c>
      <c r="C3" s="4">
        <v>6</v>
      </c>
      <c r="D3" s="4">
        <v>75</v>
      </c>
      <c r="E3" s="4" t="s">
        <v>12</v>
      </c>
      <c r="F3">
        <f t="shared" ref="E3:F21" si="0">C3*D3</f>
        <v>450</v>
      </c>
      <c r="I3" s="9" t="s">
        <v>12</v>
      </c>
      <c r="J3" s="9"/>
      <c r="K3" s="14" t="s">
        <v>13</v>
      </c>
      <c r="L3" s="12">
        <f>COUNT(C2:C21)</f>
        <v>20</v>
      </c>
    </row>
    <row r="4" spans="1:26">
      <c r="A4" s="7">
        <v>46176</v>
      </c>
      <c r="B4" s="4" t="s">
        <v>14</v>
      </c>
      <c r="C4" s="4">
        <v>8</v>
      </c>
      <c r="D4" s="4">
        <v>70</v>
      </c>
      <c r="E4" s="4" t="s">
        <v>9</v>
      </c>
      <c r="F4">
        <f t="shared" si="0"/>
        <v>560</v>
      </c>
      <c r="I4" t="s">
        <v>15</v>
      </c>
      <c r="K4" t="s">
        <v>16</v>
      </c>
      <c r="L4">
        <f>SUM(F1:F21)</f>
        <v>10645</v>
      </c>
    </row>
    <row r="5" spans="1:26">
      <c r="A5" s="6">
        <v>46176</v>
      </c>
      <c r="B5" s="4" t="s">
        <v>17</v>
      </c>
      <c r="C5" s="4">
        <v>4</v>
      </c>
      <c r="D5" s="4">
        <v>70</v>
      </c>
      <c r="E5" s="4" t="s">
        <v>9</v>
      </c>
      <c r="F5">
        <f t="shared" si="0"/>
        <v>280</v>
      </c>
    </row>
    <row r="6" spans="1:26">
      <c r="A6" s="6">
        <v>46176</v>
      </c>
      <c r="B6" s="4" t="s">
        <v>18</v>
      </c>
      <c r="C6" s="4">
        <v>3</v>
      </c>
      <c r="D6" s="4">
        <v>85</v>
      </c>
      <c r="E6" s="4" t="s">
        <v>12</v>
      </c>
      <c r="F6">
        <f t="shared" si="0"/>
        <v>255</v>
      </c>
      <c r="K6" s="15" t="s">
        <v>19</v>
      </c>
      <c r="L6" s="16" t="s">
        <v>20</v>
      </c>
    </row>
    <row r="7" spans="1:26">
      <c r="A7" s="6">
        <v>46206</v>
      </c>
      <c r="B7" s="4" t="s">
        <v>8</v>
      </c>
      <c r="C7" s="4">
        <v>6</v>
      </c>
      <c r="D7" s="4">
        <v>50</v>
      </c>
      <c r="E7" s="4" t="s">
        <v>9</v>
      </c>
      <c r="F7">
        <f t="shared" si="0"/>
        <v>300</v>
      </c>
      <c r="K7" s="17" t="s">
        <v>21</v>
      </c>
      <c r="L7" s="18">
        <f>32*50</f>
        <v>1600</v>
      </c>
    </row>
    <row r="8" spans="1:26">
      <c r="A8" s="6">
        <v>46206</v>
      </c>
      <c r="B8" s="4" t="s">
        <v>17</v>
      </c>
      <c r="C8" s="4">
        <v>7</v>
      </c>
      <c r="D8" s="4">
        <v>70</v>
      </c>
      <c r="E8" s="4" t="s">
        <v>9</v>
      </c>
      <c r="F8">
        <f t="shared" si="0"/>
        <v>490</v>
      </c>
    </row>
    <row r="9" spans="1:26">
      <c r="A9" s="6">
        <v>46206</v>
      </c>
      <c r="B9" s="4" t="s">
        <v>22</v>
      </c>
      <c r="C9" s="4">
        <v>10</v>
      </c>
      <c r="D9" s="4">
        <v>75</v>
      </c>
      <c r="E9" s="4" t="s">
        <v>12</v>
      </c>
      <c r="F9">
        <f t="shared" si="0"/>
        <v>750</v>
      </c>
    </row>
    <row r="10" spans="1:26">
      <c r="A10" s="6">
        <v>46206</v>
      </c>
      <c r="B10" s="4" t="s">
        <v>11</v>
      </c>
      <c r="C10" s="4">
        <v>10</v>
      </c>
      <c r="D10" s="4">
        <v>75</v>
      </c>
      <c r="E10" s="4" t="s">
        <v>12</v>
      </c>
      <c r="F10">
        <f t="shared" si="0"/>
        <v>750</v>
      </c>
    </row>
    <row r="11" spans="1:26">
      <c r="A11" s="6">
        <v>46206</v>
      </c>
      <c r="B11" s="4" t="s">
        <v>23</v>
      </c>
      <c r="C11" s="4">
        <v>9</v>
      </c>
      <c r="D11" s="4">
        <v>75</v>
      </c>
      <c r="E11" s="4" t="s">
        <v>12</v>
      </c>
      <c r="F11">
        <f t="shared" si="0"/>
        <v>675</v>
      </c>
    </row>
    <row r="12" spans="1:26">
      <c r="A12" s="6">
        <v>46237</v>
      </c>
      <c r="B12" s="4" t="s">
        <v>8</v>
      </c>
      <c r="C12" s="4">
        <v>10</v>
      </c>
      <c r="D12" s="4">
        <v>50</v>
      </c>
      <c r="E12" s="4" t="s">
        <v>9</v>
      </c>
      <c r="F12">
        <f t="shared" si="0"/>
        <v>500</v>
      </c>
    </row>
    <row r="13" spans="1:26">
      <c r="A13" s="7">
        <v>46237</v>
      </c>
      <c r="B13" s="8" t="s">
        <v>18</v>
      </c>
      <c r="C13" s="4">
        <v>18</v>
      </c>
      <c r="D13" s="4">
        <v>85</v>
      </c>
      <c r="E13" s="4" t="s">
        <v>12</v>
      </c>
      <c r="F13">
        <f t="shared" si="0"/>
        <v>1530</v>
      </c>
    </row>
    <row r="14" spans="1:26">
      <c r="A14" s="7">
        <v>46237</v>
      </c>
      <c r="B14" s="4" t="s">
        <v>11</v>
      </c>
      <c r="C14" s="4">
        <v>9</v>
      </c>
      <c r="D14" s="4">
        <v>75</v>
      </c>
      <c r="E14" s="4" t="s">
        <v>12</v>
      </c>
      <c r="F14">
        <f t="shared" si="0"/>
        <v>675</v>
      </c>
    </row>
    <row r="15" spans="1:26">
      <c r="A15" s="7">
        <v>46237</v>
      </c>
      <c r="B15" s="4" t="s">
        <v>24</v>
      </c>
      <c r="C15" s="4">
        <v>8</v>
      </c>
      <c r="D15" s="4">
        <v>90</v>
      </c>
      <c r="E15" s="4" t="s">
        <v>15</v>
      </c>
      <c r="F15">
        <f t="shared" si="0"/>
        <v>720</v>
      </c>
    </row>
    <row r="16" spans="1:26">
      <c r="A16" s="7">
        <v>46237</v>
      </c>
      <c r="B16" s="4" t="s">
        <v>25</v>
      </c>
      <c r="C16" s="4">
        <v>12</v>
      </c>
      <c r="D16" s="4">
        <v>90</v>
      </c>
      <c r="E16" s="4" t="s">
        <v>15</v>
      </c>
      <c r="F16">
        <f t="shared" si="0"/>
        <v>1080</v>
      </c>
    </row>
    <row r="17" spans="1:6">
      <c r="A17" s="6">
        <v>46268</v>
      </c>
      <c r="B17" s="4" t="s">
        <v>8</v>
      </c>
      <c r="C17" s="4">
        <v>11</v>
      </c>
      <c r="D17" s="4">
        <v>50</v>
      </c>
      <c r="E17" s="4" t="s">
        <v>9</v>
      </c>
      <c r="F17">
        <f t="shared" si="0"/>
        <v>550</v>
      </c>
    </row>
    <row r="18" spans="1:6">
      <c r="A18" s="7">
        <v>46268</v>
      </c>
      <c r="B18" s="4" t="s">
        <v>24</v>
      </c>
      <c r="C18" s="4">
        <v>3</v>
      </c>
      <c r="D18" s="4">
        <v>90</v>
      </c>
      <c r="E18" s="4" t="s">
        <v>15</v>
      </c>
      <c r="F18">
        <f t="shared" si="0"/>
        <v>270</v>
      </c>
    </row>
    <row r="19" spans="1:6">
      <c r="A19" s="7">
        <v>46268</v>
      </c>
      <c r="B19" s="4" t="s">
        <v>26</v>
      </c>
      <c r="C19" s="4">
        <v>3</v>
      </c>
      <c r="D19" s="4">
        <v>55</v>
      </c>
      <c r="E19" s="4" t="s">
        <v>15</v>
      </c>
      <c r="F19">
        <f t="shared" si="0"/>
        <v>165</v>
      </c>
    </row>
    <row r="20" spans="1:6">
      <c r="A20" s="7">
        <v>46268</v>
      </c>
      <c r="B20" s="4" t="s">
        <v>17</v>
      </c>
      <c r="C20" s="4">
        <v>2</v>
      </c>
      <c r="D20" s="4">
        <v>70</v>
      </c>
      <c r="E20" s="4" t="s">
        <v>9</v>
      </c>
      <c r="F20">
        <f t="shared" si="0"/>
        <v>140</v>
      </c>
    </row>
    <row r="21" spans="1:6">
      <c r="A21" s="6">
        <v>46268</v>
      </c>
      <c r="B21" s="4" t="s">
        <v>18</v>
      </c>
      <c r="C21" s="4">
        <v>3</v>
      </c>
      <c r="D21" s="4">
        <v>85</v>
      </c>
      <c r="E21" s="4" t="s">
        <v>12</v>
      </c>
      <c r="F21">
        <f t="shared" si="0"/>
        <v>255</v>
      </c>
    </row>
    <row r="41" spans="2:2">
      <c r="B41" s="1"/>
    </row>
  </sheetData>
  <dataValidations count="1">
    <dataValidation type="list" allowBlank="1" showInputMessage="1" showErrorMessage="1" sqref="E1:E1048576" xr:uid="{C32EBB3A-74DD-4E02-84A5-030BA454A079}">
      <formula1>$I$2:$I$4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2026-03-16T13:21:40Z</dcterms:created>
  <dcterms:modified xsi:type="dcterms:W3CDTF">2026-03-16T19:19:22Z</dcterms:modified>
  <cp:category/>
  <cp:contentStatus/>
</cp:coreProperties>
</file>