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hidePivotFieldList="1" defaultThemeVersion="166925"/>
  <xr:revisionPtr revIDLastSave="0" documentId="8_{AFDC0983-BA87-4977-A96F-A01C0286DABD}" xr6:coauthVersionLast="47" xr6:coauthVersionMax="47" xr10:uidLastSave="{00000000-0000-0000-0000-000000000000}"/>
  <bookViews>
    <workbookView xWindow="240" yWindow="105" windowWidth="14805" windowHeight="8010" firstSheet="1" activeTab="5" xr2:uid="{00000000-000D-0000-FFFF-FFFF00000000}"/>
  </bookViews>
  <sheets>
    <sheet name="Overview" sheetId="6" r:id="rId1"/>
    <sheet name="chart3" sheetId="5" r:id="rId2"/>
    <sheet name="chart2" sheetId="4" r:id="rId3"/>
    <sheet name="chart1" sheetId="3" r:id="rId4"/>
    <sheet name="Sponsorship " sheetId="2" r:id="rId5"/>
    <sheet name="Main Data" sheetId="1" r:id="rId6"/>
  </sheets>
  <calcPr calcId="191028"/>
  <pivotCaches>
    <pivotCache cacheId="449" r:id="rId7"/>
    <pivotCache cacheId="45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D16" i="6"/>
  <c r="D6" i="6"/>
  <c r="D7" i="6"/>
  <c r="D8" i="6"/>
  <c r="D9" i="6"/>
  <c r="D10" i="6"/>
  <c r="D11" i="6"/>
  <c r="D12" i="6"/>
  <c r="D13" i="6"/>
  <c r="D14" i="6"/>
  <c r="D15" i="6"/>
  <c r="D5" i="6"/>
  <c r="I2" i="1"/>
  <c r="J1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</calcChain>
</file>

<file path=xl/sharedStrings.xml><?xml version="1.0" encoding="utf-8"?>
<sst xmlns="http://schemas.openxmlformats.org/spreadsheetml/2006/main" count="282" uniqueCount="90">
  <si>
    <t>Sports</t>
  </si>
  <si>
    <t xml:space="preserve">Sum of Monthly Salary </t>
  </si>
  <si>
    <t>Sum of Sponsorship Val</t>
  </si>
  <si>
    <t>Difference</t>
  </si>
  <si>
    <t>year</t>
  </si>
  <si>
    <t>number of athletes in the year</t>
  </si>
  <si>
    <t>Basketball</t>
  </si>
  <si>
    <t>Fencing</t>
  </si>
  <si>
    <t>Football</t>
  </si>
  <si>
    <t>Handball</t>
  </si>
  <si>
    <t>Karate</t>
  </si>
  <si>
    <t>Powerlifting</t>
  </si>
  <si>
    <t>Squash</t>
  </si>
  <si>
    <t>Grand Total</t>
  </si>
  <si>
    <t>Swimming</t>
  </si>
  <si>
    <t>Table Tennis</t>
  </si>
  <si>
    <t>Taekwondo</t>
  </si>
  <si>
    <t>Volleyball</t>
  </si>
  <si>
    <t>Weightlifting</t>
  </si>
  <si>
    <t>Status</t>
  </si>
  <si>
    <t>Count of Status</t>
  </si>
  <si>
    <t>Active</t>
  </si>
  <si>
    <t>Injured</t>
  </si>
  <si>
    <t>Total</t>
  </si>
  <si>
    <t>Number of players</t>
  </si>
  <si>
    <t>Sport</t>
  </si>
  <si>
    <t>value</t>
  </si>
  <si>
    <t>Athlete ID</t>
  </si>
  <si>
    <t>Name</t>
  </si>
  <si>
    <t>Level</t>
  </si>
  <si>
    <t>Date of Joining</t>
  </si>
  <si>
    <t xml:space="preserve">Monthly Salary </t>
  </si>
  <si>
    <t>Matches Won</t>
  </si>
  <si>
    <t>Sponsorship Val</t>
  </si>
  <si>
    <t>Performance Category</t>
  </si>
  <si>
    <t>Contract Recommendation</t>
  </si>
  <si>
    <t>Mohamed Salah</t>
  </si>
  <si>
    <t>A</t>
  </si>
  <si>
    <t>Ahmed Hegazi</t>
  </si>
  <si>
    <t>Trezeguet</t>
  </si>
  <si>
    <t>Omar Marmoush</t>
  </si>
  <si>
    <t>Mostafa Mohamed</t>
  </si>
  <si>
    <t>B</t>
  </si>
  <si>
    <t>Retired</t>
  </si>
  <si>
    <t>Mohamed Elneny</t>
  </si>
  <si>
    <t>Amr El Solia</t>
  </si>
  <si>
    <t>Hamdi Fathy</t>
  </si>
  <si>
    <t>Ali Maaloul</t>
  </si>
  <si>
    <t>Mahmoud Kahraba</t>
  </si>
  <si>
    <t>Omar Assar</t>
  </si>
  <si>
    <t>Ibrahim Hamadtou</t>
  </si>
  <si>
    <t>C</t>
  </si>
  <si>
    <t>Sara Ahmed</t>
  </si>
  <si>
    <t>Feryal Ashraf</t>
  </si>
  <si>
    <t>Giana Farouk</t>
  </si>
  <si>
    <t>Hedaya Malak</t>
  </si>
  <si>
    <t>Seif Eissa</t>
  </si>
  <si>
    <t>Youssef Ibrahim</t>
  </si>
  <si>
    <t>Ali Farag</t>
  </si>
  <si>
    <t>Nour El Sherbini</t>
  </si>
  <si>
    <t>Raneem El Welily</t>
  </si>
  <si>
    <t>Nouran Gohar</t>
  </si>
  <si>
    <t>Marwan El Shorbagy</t>
  </si>
  <si>
    <t>Mohamed El Shorbagy</t>
  </si>
  <si>
    <t>Karim Abdel Gawad</t>
  </si>
  <si>
    <t>Ahmed El Ahmar</t>
  </si>
  <si>
    <t>Ali Zein</t>
  </si>
  <si>
    <t>Yehia El Deraa</t>
  </si>
  <si>
    <t>Mohamed Mamdouh</t>
  </si>
  <si>
    <t>Karim Hendawy</t>
  </si>
  <si>
    <t>Assem Marei</t>
  </si>
  <si>
    <t>Ehab Amin</t>
  </si>
  <si>
    <t>Omar Tarek</t>
  </si>
  <si>
    <t>Patrick Gardner</t>
  </si>
  <si>
    <t>Anas Mahmoud</t>
  </si>
  <si>
    <t>Farida Osman</t>
  </si>
  <si>
    <t>Ali Khalafalla</t>
  </si>
  <si>
    <t>Marwan El Kamash</t>
  </si>
  <si>
    <t>Youssef Ramadan</t>
  </si>
  <si>
    <t>Habiba Abbas</t>
  </si>
  <si>
    <t>Ahmed Salah</t>
  </si>
  <si>
    <t>Abdelrahman Seoud</t>
  </si>
  <si>
    <t>Omar Shaaban</t>
  </si>
  <si>
    <t>Mohamed Abdelmonem</t>
  </si>
  <si>
    <t>Ahmed Reda</t>
  </si>
  <si>
    <t>Ziad El Sisi</t>
  </si>
  <si>
    <t>Alaaeldin Abouelkassem</t>
  </si>
  <si>
    <t>Mohamed Amer</t>
  </si>
  <si>
    <t>Sherif Osman</t>
  </si>
  <si>
    <t>Rahma Khaled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</si>
</sst>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pivotButton="1" applyFont="1"/>
    <xf numFmtId="0" fontId="0" fillId="0" borderId="0" xfId="0" applyFon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</cellXfs>
  <cellStyles count="1">
    <cellStyle name="Normal" xfId="0" builtinId="0"/>
  </cellStyles>
  <dxfs count="21"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0"/>
      </font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[E_project.xlsx]chart3!PivotTable4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VS Injured Athletes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dLbl>
          <c:idx val="0"/>
          <c:layout>
            <c:manualLayout>
              <c:x val="0.17901948890845054"/>
              <c:y val="1.493394825214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000000"/>
            </a:solidFill>
            <a:prstDash val="solid"/>
          </a:ln>
          <a:effectLst/>
        </c:spPr>
        <c:dLbl>
          <c:idx val="0"/>
          <c:layout>
            <c:manualLayout>
              <c:x val="-0.18670545777366065"/>
              <c:y val="-1.69886997658227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9-4CEC-96D0-6EC12AC3B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9-4CEC-96D0-6EC12AC3B9BB}"/>
              </c:ext>
            </c:extLst>
          </c:dPt>
          <c:dLbls>
            <c:dLbl>
              <c:idx val="0"/>
              <c:layout>
                <c:manualLayout>
                  <c:x val="-0.18670545777366065"/>
                  <c:y val="-1.69886997658227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A9-4CEC-96D0-6EC12AC3B9BB}"/>
                </c:ext>
              </c:extLst>
            </c:dLbl>
            <c:dLbl>
              <c:idx val="1"/>
              <c:layout>
                <c:manualLayout>
                  <c:x val="0.17901948890845054"/>
                  <c:y val="1.493394825214843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A9-4CEC-96D0-6EC12AC3B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chart3!$A$4:$A$6</c:f>
              <c:strCache>
                <c:ptCount val="2"/>
                <c:pt idx="0">
                  <c:v>Active</c:v>
                </c:pt>
                <c:pt idx="1">
                  <c:v>Injured</c:v>
                </c:pt>
              </c:strCache>
            </c:strRef>
          </c:cat>
          <c:val>
            <c:numRef>
              <c:f>chart3!$B$4:$B$6</c:f>
              <c:numCache>
                <c:formatCode>General</c:formatCode>
                <c:ptCount val="2"/>
                <c:pt idx="0">
                  <c:v>25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9-4CEC-96D0-6EC12AC3B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[E_project.xlsx]chart2!PivotTable3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vs Sponsorship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chart2!$B$3</c:f>
              <c:strCache>
                <c:ptCount val="1"/>
                <c:pt idx="0">
                  <c:v>Sum of Sponsorship Val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chart2!$A$4:$A$16</c:f>
              <c:strCache>
                <c:ptCount val="12"/>
                <c:pt idx="0">
                  <c:v>Basketball</c:v>
                </c:pt>
                <c:pt idx="1">
                  <c:v>Fencing</c:v>
                </c:pt>
                <c:pt idx="2">
                  <c:v>Football</c:v>
                </c:pt>
                <c:pt idx="3">
                  <c:v>Handball</c:v>
                </c:pt>
                <c:pt idx="4">
                  <c:v>Karate</c:v>
                </c:pt>
                <c:pt idx="5">
                  <c:v>Powerlifting</c:v>
                </c:pt>
                <c:pt idx="6">
                  <c:v>Squash</c:v>
                </c:pt>
                <c:pt idx="7">
                  <c:v>Swimming</c:v>
                </c:pt>
                <c:pt idx="8">
                  <c:v>Table Tennis</c:v>
                </c:pt>
                <c:pt idx="9">
                  <c:v>Taekwondo</c:v>
                </c:pt>
                <c:pt idx="10">
                  <c:v>Volleyball</c:v>
                </c:pt>
                <c:pt idx="11">
                  <c:v>Weightlifting</c:v>
                </c:pt>
              </c:strCache>
            </c:strRef>
          </c:cat>
          <c:val>
            <c:numRef>
              <c:f>chart2!$B$4:$B$16</c:f>
              <c:numCache>
                <c:formatCode>General</c:formatCode>
                <c:ptCount val="12"/>
                <c:pt idx="0">
                  <c:v>45000</c:v>
                </c:pt>
                <c:pt idx="1">
                  <c:v>13500</c:v>
                </c:pt>
                <c:pt idx="2">
                  <c:v>220000</c:v>
                </c:pt>
                <c:pt idx="3">
                  <c:v>55000</c:v>
                </c:pt>
                <c:pt idx="4">
                  <c:v>10000</c:v>
                </c:pt>
                <c:pt idx="5">
                  <c:v>3500</c:v>
                </c:pt>
                <c:pt idx="6">
                  <c:v>76000</c:v>
                </c:pt>
                <c:pt idx="7">
                  <c:v>60000</c:v>
                </c:pt>
                <c:pt idx="8">
                  <c:v>14000</c:v>
                </c:pt>
                <c:pt idx="9">
                  <c:v>9800</c:v>
                </c:pt>
                <c:pt idx="10">
                  <c:v>32500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3D5-A78E-9DD89AD7A2D3}"/>
            </c:ext>
          </c:extLst>
        </c:ser>
        <c:ser>
          <c:idx val="1"/>
          <c:order val="1"/>
          <c:tx>
            <c:strRef>
              <c:f>chart2!$C$3</c:f>
              <c:strCache>
                <c:ptCount val="1"/>
                <c:pt idx="0">
                  <c:v>Sum of Monthly Salary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chart2!$A$4:$A$16</c:f>
              <c:strCache>
                <c:ptCount val="12"/>
                <c:pt idx="0">
                  <c:v>Basketball</c:v>
                </c:pt>
                <c:pt idx="1">
                  <c:v>Fencing</c:v>
                </c:pt>
                <c:pt idx="2">
                  <c:v>Football</c:v>
                </c:pt>
                <c:pt idx="3">
                  <c:v>Handball</c:v>
                </c:pt>
                <c:pt idx="4">
                  <c:v>Karate</c:v>
                </c:pt>
                <c:pt idx="5">
                  <c:v>Powerlifting</c:v>
                </c:pt>
                <c:pt idx="6">
                  <c:v>Squash</c:v>
                </c:pt>
                <c:pt idx="7">
                  <c:v>Swimming</c:v>
                </c:pt>
                <c:pt idx="8">
                  <c:v>Table Tennis</c:v>
                </c:pt>
                <c:pt idx="9">
                  <c:v>Taekwondo</c:v>
                </c:pt>
                <c:pt idx="10">
                  <c:v>Volleyball</c:v>
                </c:pt>
                <c:pt idx="11">
                  <c:v>Weightlifting</c:v>
                </c:pt>
              </c:strCache>
            </c:strRef>
          </c:cat>
          <c:val>
            <c:numRef>
              <c:f>chart2!$C$4:$C$16</c:f>
              <c:numCache>
                <c:formatCode>General</c:formatCode>
                <c:ptCount val="12"/>
                <c:pt idx="0">
                  <c:v>34300</c:v>
                </c:pt>
                <c:pt idx="1">
                  <c:v>22500</c:v>
                </c:pt>
                <c:pt idx="2">
                  <c:v>187000</c:v>
                </c:pt>
                <c:pt idx="3">
                  <c:v>34100</c:v>
                </c:pt>
                <c:pt idx="4">
                  <c:v>22000</c:v>
                </c:pt>
                <c:pt idx="5">
                  <c:v>9000</c:v>
                </c:pt>
                <c:pt idx="6">
                  <c:v>70500</c:v>
                </c:pt>
                <c:pt idx="7">
                  <c:v>46300</c:v>
                </c:pt>
                <c:pt idx="8">
                  <c:v>10500</c:v>
                </c:pt>
                <c:pt idx="9">
                  <c:v>16000</c:v>
                </c:pt>
                <c:pt idx="10">
                  <c:v>50900</c:v>
                </c:pt>
                <c:pt idx="1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AD-43D5-A78E-9DD89AD7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664"/>
        <c:axId val="2764808"/>
      </c:barChart>
      <c:catAx>
        <c:axId val="27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4808"/>
        <c:crosses val="autoZero"/>
        <c:auto val="1"/>
        <c:lblAlgn val="ctr"/>
        <c:lblOffset val="100"/>
        <c:noMultiLvlLbl val="0"/>
      </c:catAx>
      <c:valAx>
        <c:axId val="276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[E_project.xlsx]chart1!PivotTable1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Players per 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chart1!$A$4:$A$16</c:f>
              <c:strCache>
                <c:ptCount val="12"/>
                <c:pt idx="0">
                  <c:v>Basketball</c:v>
                </c:pt>
                <c:pt idx="1">
                  <c:v>Fencing</c:v>
                </c:pt>
                <c:pt idx="2">
                  <c:v>Football</c:v>
                </c:pt>
                <c:pt idx="3">
                  <c:v>Handball</c:v>
                </c:pt>
                <c:pt idx="4">
                  <c:v>Karate</c:v>
                </c:pt>
                <c:pt idx="5">
                  <c:v>Powerlifting</c:v>
                </c:pt>
                <c:pt idx="6">
                  <c:v>Squash</c:v>
                </c:pt>
                <c:pt idx="7">
                  <c:v>Swimming</c:v>
                </c:pt>
                <c:pt idx="8">
                  <c:v>Table Tennis</c:v>
                </c:pt>
                <c:pt idx="9">
                  <c:v>Taekwondo</c:v>
                </c:pt>
                <c:pt idx="10">
                  <c:v>Volleyball</c:v>
                </c:pt>
                <c:pt idx="11">
                  <c:v>Weightlifting</c:v>
                </c:pt>
              </c:strCache>
            </c:strRef>
          </c:cat>
          <c:val>
            <c:numRef>
              <c:f>chart1!$B$4:$B$16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8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2-49EC-A33F-B3654A06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920839"/>
        <c:axId val="1172931079"/>
      </c:barChart>
      <c:catAx>
        <c:axId val="117292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31079"/>
        <c:crosses val="autoZero"/>
        <c:auto val="1"/>
        <c:lblAlgn val="ctr"/>
        <c:lblOffset val="100"/>
        <c:noMultiLvlLbl val="0"/>
      </c:catAx>
      <c:valAx>
        <c:axId val="11729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20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10</xdr:col>
      <xdr:colOff>314325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5273FC-CA69-8CC4-66D3-D11414B5E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10</xdr:col>
      <xdr:colOff>314325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CB8A9-8C02-7C75-B135-AB83C8FAC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47625</xdr:rowOff>
    </xdr:from>
    <xdr:to>
      <xdr:col>9</xdr:col>
      <xdr:colOff>314325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9CECD-2691-8548-CEB1-AEE3C8F7A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342206944442" createdVersion="8" refreshedVersion="8" minRefreshableVersion="3" recordCount="51" xr:uid="{5CE9109A-2BD2-45E6-A0CC-E98579E305A0}">
  <cacheSource type="worksheet">
    <worksheetSource ref="C1:C1048576" sheet="Main Data"/>
  </cacheSource>
  <cacheFields count="1">
    <cacheField name="Sports" numFmtId="0">
      <sharedItems containsBlank="1" count="13">
        <s v="Football"/>
        <s v="Table Tennis"/>
        <s v="Weightlifting"/>
        <s v="Karate"/>
        <s v="Taekwondo"/>
        <s v="Squash"/>
        <s v="Handball"/>
        <s v="Basketball"/>
        <s v="Swimming"/>
        <s v="Volleyball"/>
        <s v="Fencing"/>
        <s v="Powerlift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342206944442" createdVersion="8" refreshedVersion="8" minRefreshableVersion="3" recordCount="50" xr:uid="{AF035760-C2DB-459C-B4F7-45EAA6105C4B}">
  <cacheSource type="worksheet">
    <worksheetSource name="Table1"/>
  </cacheSource>
  <cacheFields count="12">
    <cacheField name="Athlete ID" numFmtId="0">
      <sharedItems containsSemiMixedTypes="0" containsString="0" containsNumber="1" containsInteger="1" minValue="1001" maxValue="1050"/>
    </cacheField>
    <cacheField name="Name" numFmtId="0">
      <sharedItems/>
    </cacheField>
    <cacheField name="Sports" numFmtId="0">
      <sharedItems count="12">
        <s v="Football"/>
        <s v="Table Tennis"/>
        <s v="Weightlifting"/>
        <s v="Karate"/>
        <s v="Taekwondo"/>
        <s v="Squash"/>
        <s v="Handball"/>
        <s v="Basketball"/>
        <s v="Swimming"/>
        <s v="Volleyball"/>
        <s v="Fencing"/>
        <s v="Powerlifting"/>
      </sharedItems>
    </cacheField>
    <cacheField name="Level" numFmtId="0">
      <sharedItems/>
    </cacheField>
    <cacheField name="Date of Joining" numFmtId="14">
      <sharedItems containsSemiMixedTypes="0" containsNonDate="0" containsDate="1" containsString="0" minDate="2018-02-16T00:00:00" maxDate="2023-10-01T00:00:00"/>
    </cacheField>
    <cacheField name="Monthly Salary " numFmtId="0">
      <sharedItems containsSemiMixedTypes="0" containsString="0" containsNumber="1" containsInteger="1" minValue="3000" maxValue="30000"/>
    </cacheField>
    <cacheField name="Matches Won" numFmtId="0">
      <sharedItems containsSemiMixedTypes="0" containsString="0" containsNumber="1" containsInteger="1" minValue="4" maxValue="50"/>
    </cacheField>
    <cacheField name="Status" numFmtId="0">
      <sharedItems count="3">
        <s v="Active"/>
        <s v="Retired"/>
        <s v="Injured"/>
      </sharedItems>
    </cacheField>
    <cacheField name="Sponsorship Val" numFmtId="0">
      <sharedItems containsSemiMixedTypes="0" containsString="0" containsNumber="1" containsInteger="1" minValue="3500" maxValue="22000"/>
    </cacheField>
    <cacheField name="Performance Category" numFmtId="0">
      <sharedItems/>
    </cacheField>
    <cacheField name="Contract Recommendation" numFmtId="0">
      <sharedItems/>
    </cacheField>
    <cacheField name="year" numFmtId="0">
      <sharedItems containsSemiMixedTypes="0" containsString="0" containsNumber="1" containsInteger="1" minValue="2018" maxValue="2023" count="6">
        <n v="2022"/>
        <n v="2020"/>
        <n v="2019"/>
        <n v="2021"/>
        <n v="2023"/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3"/>
  </r>
  <r>
    <x v="3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10"/>
  </r>
  <r>
    <x v="10"/>
  </r>
  <r>
    <x v="10"/>
  </r>
  <r>
    <x v="11"/>
  </r>
  <r>
    <x v="8"/>
  </r>
  <r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Mohamed Salah"/>
    <x v="0"/>
    <s v="A"/>
    <d v="2022-05-14T00:00:00"/>
    <n v="30000"/>
    <n v="50"/>
    <x v="0"/>
    <n v="22000"/>
    <s v="Star"/>
    <s v="Keep Player"/>
    <x v="0"/>
  </r>
  <r>
    <n v="1002"/>
    <s v="Ahmed Hegazi"/>
    <x v="0"/>
    <s v="A"/>
    <d v="2020-11-03T00:00:00"/>
    <n v="28000"/>
    <n v="40"/>
    <x v="0"/>
    <n v="22000"/>
    <s v="Star"/>
    <s v="Keep Player"/>
    <x v="1"/>
  </r>
  <r>
    <n v="1003"/>
    <s v="Trezeguet"/>
    <x v="0"/>
    <s v="A"/>
    <d v="2019-07-22T00:00:00"/>
    <n v="22000"/>
    <n v="25"/>
    <x v="0"/>
    <n v="22000"/>
    <s v="Star"/>
    <s v="Keep Player"/>
    <x v="2"/>
  </r>
  <r>
    <n v="1004"/>
    <s v="Omar Marmoush"/>
    <x v="0"/>
    <s v="A"/>
    <d v="2021-03-08T00:00:00"/>
    <n v="23000"/>
    <n v="38"/>
    <x v="0"/>
    <n v="22000"/>
    <s v="Star"/>
    <s v="Keep Player"/>
    <x v="3"/>
  </r>
  <r>
    <n v="1005"/>
    <s v="Mostafa Mohamed"/>
    <x v="0"/>
    <s v="B"/>
    <d v="2023-01-17T00:00:00"/>
    <n v="19000"/>
    <n v="24"/>
    <x v="1"/>
    <n v="22000"/>
    <s v="Under Review"/>
    <s v="Keep Player"/>
    <x v="4"/>
  </r>
  <r>
    <n v="1006"/>
    <s v="Mohamed Elneny"/>
    <x v="0"/>
    <s v="A"/>
    <d v="2023-09-30T00:00:00"/>
    <n v="26000"/>
    <n v="25"/>
    <x v="0"/>
    <n v="22000"/>
    <s v="Star"/>
    <s v="Keep Player"/>
    <x v="4"/>
  </r>
  <r>
    <n v="1007"/>
    <s v="Amr El Solia"/>
    <x v="0"/>
    <s v="B"/>
    <d v="2020-06-11T00:00:00"/>
    <n v="10000"/>
    <n v="23"/>
    <x v="2"/>
    <n v="22000"/>
    <s v="Under Review"/>
    <s v="Keep Player"/>
    <x v="1"/>
  </r>
  <r>
    <n v="1008"/>
    <s v="Hamdi Fathy"/>
    <x v="0"/>
    <s v="B"/>
    <d v="2022-12-25T00:00:00"/>
    <n v="12000"/>
    <n v="20"/>
    <x v="2"/>
    <n v="22000"/>
    <s v="Under Review"/>
    <s v="Keep Player"/>
    <x v="0"/>
  </r>
  <r>
    <n v="1009"/>
    <s v="Ali Maaloul"/>
    <x v="0"/>
    <s v="A"/>
    <d v="2019-04-05T00:00:00"/>
    <n v="12000"/>
    <n v="27"/>
    <x v="0"/>
    <n v="22000"/>
    <s v="Star"/>
    <s v="Keep Player"/>
    <x v="2"/>
  </r>
  <r>
    <n v="1010"/>
    <s v="Mahmoud Kahraba"/>
    <x v="0"/>
    <s v="B"/>
    <d v="2021-08-19T00:00:00"/>
    <n v="5000"/>
    <n v="22"/>
    <x v="1"/>
    <n v="22000"/>
    <s v="Under Review"/>
    <s v="Keep Player"/>
    <x v="3"/>
  </r>
  <r>
    <n v="1011"/>
    <s v="Omar Assar"/>
    <x v="1"/>
    <s v="B"/>
    <d v="2023-03-02T00:00:00"/>
    <n v="6000"/>
    <n v="20"/>
    <x v="0"/>
    <n v="7000"/>
    <s v="Star"/>
    <s v="Keep Player"/>
    <x v="4"/>
  </r>
  <r>
    <n v="1012"/>
    <s v="Ibrahim Hamadtou"/>
    <x v="1"/>
    <s v="C"/>
    <d v="2018-11-14T00:00:00"/>
    <n v="4500"/>
    <n v="25"/>
    <x v="0"/>
    <n v="7000"/>
    <s v="Star"/>
    <s v="Keep Player"/>
    <x v="5"/>
  </r>
  <r>
    <n v="1013"/>
    <s v="Sara Ahmed"/>
    <x v="2"/>
    <s v="B"/>
    <d v="2020-02-28T00:00:00"/>
    <n v="6000"/>
    <n v="4"/>
    <x v="2"/>
    <n v="4000"/>
    <s v="Under Review"/>
    <s v="Review Contract"/>
    <x v="1"/>
  </r>
  <r>
    <n v="1014"/>
    <s v="Feryal Ashraf"/>
    <x v="3"/>
    <s v="A"/>
    <d v="2022-07-09T00:00:00"/>
    <n v="11000"/>
    <n v="9"/>
    <x v="0"/>
    <n v="5000"/>
    <s v="Under Review"/>
    <s v="Keep Player"/>
    <x v="0"/>
  </r>
  <r>
    <n v="1015"/>
    <s v="Giana Farouk"/>
    <x v="3"/>
    <s v="A"/>
    <d v="2019-10-21T00:00:00"/>
    <n v="11000"/>
    <n v="13"/>
    <x v="0"/>
    <n v="5000"/>
    <s v="Star"/>
    <s v="Keep Player"/>
    <x v="2"/>
  </r>
  <r>
    <n v="1016"/>
    <s v="Hedaya Malak"/>
    <x v="4"/>
    <s v="A"/>
    <d v="2021-05-30T00:00:00"/>
    <n v="9000"/>
    <n v="30"/>
    <x v="1"/>
    <n v="4900"/>
    <s v="Under Review"/>
    <s v="Keep Player"/>
    <x v="3"/>
  </r>
  <r>
    <n v="1017"/>
    <s v="Seif Eissa"/>
    <x v="4"/>
    <s v="A"/>
    <d v="2023-06-15T00:00:00"/>
    <n v="7000"/>
    <n v="36"/>
    <x v="2"/>
    <n v="4900"/>
    <s v="Under Review"/>
    <s v="Keep Player"/>
    <x v="4"/>
  </r>
  <r>
    <n v="1018"/>
    <s v="Youssef Ibrahim"/>
    <x v="5"/>
    <s v="A"/>
    <d v="2018-08-07T00:00:00"/>
    <n v="3000"/>
    <n v="30"/>
    <x v="0"/>
    <n v="9500"/>
    <s v="Star"/>
    <s v="Keep Player"/>
    <x v="5"/>
  </r>
  <r>
    <n v="1019"/>
    <s v="Ali Farag"/>
    <x v="5"/>
    <s v="A"/>
    <d v="2020-12-19T00:00:00"/>
    <n v="5000"/>
    <n v="25"/>
    <x v="0"/>
    <n v="9500"/>
    <s v="Star"/>
    <s v="Keep Player"/>
    <x v="1"/>
  </r>
  <r>
    <n v="1020"/>
    <s v="Nour El Sherbini"/>
    <x v="5"/>
    <s v="A"/>
    <d v="2022-04-03T00:00:00"/>
    <n v="8500"/>
    <n v="26"/>
    <x v="2"/>
    <n v="9500"/>
    <s v="Under Review"/>
    <s v="Keep Player"/>
    <x v="0"/>
  </r>
  <r>
    <n v="1021"/>
    <s v="Raneem El Welily"/>
    <x v="5"/>
    <s v="A"/>
    <d v="2019-01-26T00:00:00"/>
    <n v="8000"/>
    <n v="27"/>
    <x v="2"/>
    <n v="9500"/>
    <s v="Under Review"/>
    <s v="Keep Player"/>
    <x v="2"/>
  </r>
  <r>
    <n v="1022"/>
    <s v="Nouran Gohar"/>
    <x v="5"/>
    <s v="A"/>
    <d v="2021-09-12T00:00:00"/>
    <n v="12000"/>
    <n v="20"/>
    <x v="0"/>
    <n v="9500"/>
    <s v="Star"/>
    <s v="Keep Player"/>
    <x v="3"/>
  </r>
  <r>
    <n v="1023"/>
    <s v="Marwan El Shorbagy"/>
    <x v="5"/>
    <s v="A"/>
    <d v="2023-02-08T00:00:00"/>
    <n v="12000"/>
    <n v="22"/>
    <x v="2"/>
    <n v="9500"/>
    <s v="Under Review"/>
    <s v="Keep Player"/>
    <x v="4"/>
  </r>
  <r>
    <n v="1024"/>
    <s v="Mohamed El Shorbagy"/>
    <x v="5"/>
    <s v="A"/>
    <d v="2018-06-24T00:00:00"/>
    <n v="13000"/>
    <n v="19"/>
    <x v="2"/>
    <n v="9500"/>
    <s v="Under Review"/>
    <s v="Keep Player"/>
    <x v="5"/>
  </r>
  <r>
    <n v="1025"/>
    <s v="Karim Abdel Gawad"/>
    <x v="5"/>
    <s v="A"/>
    <d v="2023-03-17T00:00:00"/>
    <n v="9000"/>
    <n v="20"/>
    <x v="0"/>
    <n v="9500"/>
    <s v="Star"/>
    <s v="Keep Player"/>
    <x v="4"/>
  </r>
  <r>
    <n v="1026"/>
    <s v="Ahmed El Ahmar"/>
    <x v="6"/>
    <s v="A"/>
    <d v="2022-10-05T00:00:00"/>
    <n v="7000"/>
    <n v="40"/>
    <x v="0"/>
    <n v="11000"/>
    <s v="Star"/>
    <s v="Keep Player"/>
    <x v="0"/>
  </r>
  <r>
    <n v="1027"/>
    <s v="Ali Zein"/>
    <x v="6"/>
    <s v="A"/>
    <d v="2019-12-31T00:00:00"/>
    <n v="6500"/>
    <n v="38"/>
    <x v="2"/>
    <n v="11000"/>
    <s v="Under Review"/>
    <s v="Keep Player"/>
    <x v="2"/>
  </r>
  <r>
    <n v="1028"/>
    <s v="Yehia El Deraa"/>
    <x v="6"/>
    <s v="A"/>
    <d v="2021-07-20T00:00:00"/>
    <n v="6700"/>
    <n v="36"/>
    <x v="1"/>
    <n v="11000"/>
    <s v="Under Review"/>
    <s v="Keep Player"/>
    <x v="3"/>
  </r>
  <r>
    <n v="1029"/>
    <s v="Mohamed Mamdouh"/>
    <x v="6"/>
    <s v="B"/>
    <d v="2023-04-11T00:00:00"/>
    <n v="5000"/>
    <n v="34"/>
    <x v="2"/>
    <n v="11000"/>
    <s v="Under Review"/>
    <s v="Keep Player"/>
    <x v="4"/>
  </r>
  <r>
    <n v="1030"/>
    <s v="Karim Hendawy"/>
    <x v="6"/>
    <s v="A"/>
    <d v="2018-02-16T00:00:00"/>
    <n v="8900"/>
    <n v="32"/>
    <x v="2"/>
    <n v="11000"/>
    <s v="Under Review"/>
    <s v="Keep Player"/>
    <x v="5"/>
  </r>
  <r>
    <n v="1031"/>
    <s v="Assem Marei"/>
    <x v="7"/>
    <s v="A"/>
    <d v="2020-08-29T00:00:00"/>
    <n v="8000"/>
    <n v="46"/>
    <x v="0"/>
    <n v="9000"/>
    <s v="Star"/>
    <s v="Keep Player"/>
    <x v="1"/>
  </r>
  <r>
    <n v="1032"/>
    <s v="Ehab Amin"/>
    <x v="7"/>
    <s v="B"/>
    <d v="2022-01-14T00:00:00"/>
    <n v="6500"/>
    <n v="44"/>
    <x v="0"/>
    <n v="9000"/>
    <s v="Star"/>
    <s v="Keep Player"/>
    <x v="0"/>
  </r>
  <r>
    <n v="1033"/>
    <s v="Omar Tarek"/>
    <x v="7"/>
    <s v="B"/>
    <d v="2019-05-07T00:00:00"/>
    <n v="7000"/>
    <n v="41"/>
    <x v="2"/>
    <n v="9000"/>
    <s v="Under Review"/>
    <s v="Keep Player"/>
    <x v="2"/>
  </r>
  <r>
    <n v="1034"/>
    <s v="Patrick Gardner"/>
    <x v="7"/>
    <s v="C"/>
    <d v="2021-11-23T00:00:00"/>
    <n v="6200"/>
    <n v="9"/>
    <x v="2"/>
    <n v="9000"/>
    <s v="Under Review"/>
    <s v="Keep Player"/>
    <x v="3"/>
  </r>
  <r>
    <n v="1035"/>
    <s v="Anas Mahmoud"/>
    <x v="7"/>
    <s v="B"/>
    <d v="2023-07-01T00:00:00"/>
    <n v="6600"/>
    <n v="16"/>
    <x v="0"/>
    <n v="9000"/>
    <s v="Star"/>
    <s v="Keep Player"/>
    <x v="4"/>
  </r>
  <r>
    <n v="1036"/>
    <s v="Farida Osman"/>
    <x v="8"/>
    <s v="A"/>
    <d v="2018-04-18T00:00:00"/>
    <n v="10000"/>
    <n v="25"/>
    <x v="0"/>
    <n v="10000"/>
    <s v="Star"/>
    <s v="Keep Player"/>
    <x v="5"/>
  </r>
  <r>
    <n v="1037"/>
    <s v="Ali Khalafalla"/>
    <x v="8"/>
    <s v="B"/>
    <d v="2023-09-06T00:00:00"/>
    <n v="8500"/>
    <n v="12"/>
    <x v="0"/>
    <n v="10000"/>
    <s v="Star"/>
    <s v="Keep Player"/>
    <x v="4"/>
  </r>
  <r>
    <n v="1038"/>
    <s v="Marwan El Kamash"/>
    <x v="8"/>
    <s v="B"/>
    <d v="2022-06-27T00:00:00"/>
    <n v="8500"/>
    <n v="10"/>
    <x v="2"/>
    <n v="10000"/>
    <s v="Under Review"/>
    <s v="Keep Player"/>
    <x v="0"/>
  </r>
  <r>
    <n v="1039"/>
    <s v="Youssef Ramadan"/>
    <x v="8"/>
    <s v="A"/>
    <d v="2019-02-13T00:00:00"/>
    <n v="8800"/>
    <n v="4"/>
    <x v="2"/>
    <n v="10000"/>
    <s v="Under Review"/>
    <s v="Review Contract"/>
    <x v="2"/>
  </r>
  <r>
    <n v="1040"/>
    <s v="Habiba Abbas"/>
    <x v="8"/>
    <s v="C"/>
    <d v="2021-10-08T00:00:00"/>
    <n v="5000"/>
    <n v="7"/>
    <x v="0"/>
    <n v="10000"/>
    <s v="Under Review"/>
    <s v="Keep Player"/>
    <x v="3"/>
  </r>
  <r>
    <n v="1041"/>
    <s v="Ahmed Salah"/>
    <x v="9"/>
    <s v="A"/>
    <d v="2023-05-22T00:00:00"/>
    <n v="14000"/>
    <n v="30"/>
    <x v="2"/>
    <n v="6500"/>
    <s v="Under Review"/>
    <s v="Keep Player"/>
    <x v="4"/>
  </r>
  <r>
    <n v="1042"/>
    <s v="Abdelrahman Seoud"/>
    <x v="9"/>
    <s v="B"/>
    <d v="2018-12-09T00:00:00"/>
    <n v="11000"/>
    <n v="32"/>
    <x v="0"/>
    <n v="6500"/>
    <s v="Star"/>
    <s v="Keep Player"/>
    <x v="5"/>
  </r>
  <r>
    <n v="1043"/>
    <s v="Omar Shaaban"/>
    <x v="9"/>
    <s v="B"/>
    <d v="2023-04-24T00:00:00"/>
    <n v="10000"/>
    <n v="33"/>
    <x v="1"/>
    <n v="6500"/>
    <s v="Under Review"/>
    <s v="Keep Player"/>
    <x v="4"/>
  </r>
  <r>
    <n v="1044"/>
    <s v="Mohamed Abdelmonem"/>
    <x v="9"/>
    <s v="C"/>
    <d v="2022-09-16T00:00:00"/>
    <n v="7900"/>
    <n v="9"/>
    <x v="2"/>
    <n v="6500"/>
    <s v="Under Review"/>
    <s v="Keep Player"/>
    <x v="0"/>
  </r>
  <r>
    <n v="1045"/>
    <s v="Ahmed Reda"/>
    <x v="9"/>
    <s v="B"/>
    <d v="2019-06-30T00:00:00"/>
    <n v="8000"/>
    <n v="37"/>
    <x v="0"/>
    <n v="6500"/>
    <s v="Star"/>
    <s v="Keep Player"/>
    <x v="2"/>
  </r>
  <r>
    <n v="1046"/>
    <s v="Ziad El Sisi"/>
    <x v="10"/>
    <s v="A"/>
    <d v="2021-01-05T00:00:00"/>
    <n v="8000"/>
    <n v="13"/>
    <x v="0"/>
    <n v="4500"/>
    <s v="Star"/>
    <s v="Keep Player"/>
    <x v="3"/>
  </r>
  <r>
    <n v="1047"/>
    <s v="Alaaeldin Abouelkassem"/>
    <x v="10"/>
    <s v="A"/>
    <d v="2023-08-13T00:00:00"/>
    <n v="7500"/>
    <n v="15"/>
    <x v="2"/>
    <n v="4500"/>
    <s v="Under Review"/>
    <s v="Keep Player"/>
    <x v="4"/>
  </r>
  <r>
    <n v="1048"/>
    <s v="Mohamed Amer"/>
    <x v="10"/>
    <s v="B"/>
    <d v="2018-03-27T00:00:00"/>
    <n v="7000"/>
    <n v="8"/>
    <x v="1"/>
    <n v="4500"/>
    <s v="Under Review"/>
    <s v="Keep Player"/>
    <x v="5"/>
  </r>
  <r>
    <n v="1049"/>
    <s v="Sherif Osman"/>
    <x v="11"/>
    <s v="A"/>
    <d v="2020-07-15T00:00:00"/>
    <n v="9000"/>
    <n v="25"/>
    <x v="0"/>
    <n v="3500"/>
    <s v="Star"/>
    <s v="Keep Player"/>
    <x v="1"/>
  </r>
  <r>
    <n v="1050"/>
    <s v="Rahma Khaled"/>
    <x v="8"/>
    <s v="C"/>
    <d v="2022-02-20T00:00:00"/>
    <n v="5500"/>
    <n v="4"/>
    <x v="2"/>
    <n v="10000"/>
    <s v="Under Review"/>
    <s v="Review Contrac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F4189-48D9-4BC1-A8E4-0745A8BF273B}" name="PivotTable11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4:G11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2"/>
        <item x="1"/>
        <item x="3"/>
        <item x="0"/>
        <item x="4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athletes in the year" fld="1" subtotal="count" baseField="0" baseItem="0"/>
  </dataField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3D921-D976-4DDF-8D3D-E2F536E27B51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17" firstHeaderRow="0" firstDataRow="1" firstDataCol="1"/>
  <pivotFields count="12">
    <pivotField compact="0" outline="0" showAll="0"/>
    <pivotField compact="0" outline="0" showAll="0"/>
    <pivotField axis="axisRow" compact="0" outline="0" showAll="0">
      <items count="13">
        <item x="7"/>
        <item x="10"/>
        <item x="0"/>
        <item x="6"/>
        <item x="3"/>
        <item x="11"/>
        <item x="5"/>
        <item x="8"/>
        <item x="1"/>
        <item x="4"/>
        <item x="9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alary " fld="5" baseField="0" baseItem="0"/>
    <dataField name="Sum of Sponsorship Val" fld="8" baseField="0" baseItem="0"/>
  </dataFields>
  <formats count="2"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AEC03-71D7-40B1-B3E6-06184DA596B5}" name="PivotTable4" cacheId="45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 chartFormat="7">
  <location ref="A3:B6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2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tatus" fld="7" subtotal="count" baseField="0" baseItem="0"/>
  </dataFields>
  <chartFormats count="1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B02C3-A557-44A2-8E7F-CB142B977DF4}" name="PivotTable3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6" firstHeaderRow="0" firstDataRow="1" firstDataCol="1"/>
  <pivotFields count="12">
    <pivotField compact="0" outline="0" showAll="0"/>
    <pivotField compact="0" outline="0" showAll="0"/>
    <pivotField axis="axisRow" compact="0" outline="0" showAll="0">
      <items count="13">
        <item x="7"/>
        <item x="10"/>
        <item x="0"/>
        <item x="6"/>
        <item x="3"/>
        <item x="11"/>
        <item x="5"/>
        <item x="8"/>
        <item x="1"/>
        <item x="4"/>
        <item x="9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onsorship Val" fld="8" baseField="0" baseItem="0"/>
    <dataField name="Sum of Monthly Salary 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E35B2-6BCA-4D1E-92AD-90D5BC1C48B5}" name="PivotTable1" cacheId="44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">
    <pivotField axis="axisRow" dataField="1" compact="0" outline="0" showAll="0">
      <items count="14">
        <item x="7"/>
        <item x="10"/>
        <item x="0"/>
        <item x="6"/>
        <item x="3"/>
        <item x="11"/>
        <item x="5"/>
        <item x="8"/>
        <item x="1"/>
        <item x="4"/>
        <item x="9"/>
        <item x="2"/>
        <item n="." h="1" x="1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Number of playe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D7934-A128-49FB-AC83-1273F3DB8EBF}" name="Table1" displayName="Table1" ref="A1:L51" totalsRowShown="0" headerRowDxfId="12">
  <autoFilter ref="A1:L51" xr:uid="{0D3D7934-A128-49FB-AC83-1273F3DB8EBF}"/>
  <tableColumns count="12">
    <tableColumn id="1" xr3:uid="{AB2E8997-1E34-470F-B06E-555E5706ECDF}" name="Athlete ID" dataDxfId="11"/>
    <tableColumn id="2" xr3:uid="{A617BC1C-7518-4877-8054-AF11490692BD}" name="Name" dataDxfId="10"/>
    <tableColumn id="3" xr3:uid="{47FB4D42-E195-4815-898E-134C35AD371B}" name="Sports" dataDxfId="9"/>
    <tableColumn id="4" xr3:uid="{0E3E362E-2511-44EB-86C8-C88DB76EB516}" name="Level" dataDxfId="8"/>
    <tableColumn id="5" xr3:uid="{9BCC02A3-A25E-4362-9A92-32F28A15507F}" name="Date of Joining" dataDxfId="7"/>
    <tableColumn id="6" xr3:uid="{B228707A-9897-4833-8EBE-EDFE6A3960E2}" name="Monthly Salary " dataDxfId="6"/>
    <tableColumn id="7" xr3:uid="{C942E4E7-EE74-49A1-ABAB-ED006589F6AE}" name="Matches Won" dataDxfId="5"/>
    <tableColumn id="8" xr3:uid="{65DA993A-49E0-4D46-A3AD-B90197E63EA6}" name="Status" dataDxfId="4"/>
    <tableColumn id="9" xr3:uid="{64243CA4-EC01-4AA9-8F80-66D49A8F4755}" name="Sponsorship Val" dataDxfId="3">
      <calculatedColumnFormula>_xlfn.XLOOKUP(C2,'Sponsorship '!A$2:A$13,'Sponsorship '!B$2:B$13)</calculatedColumnFormula>
    </tableColumn>
    <tableColumn id="10" xr3:uid="{D675B94F-3FF7-4D4D-A3DC-BA81F27C3298}" name="Performance Category" dataDxfId="2">
      <calculatedColumnFormula>IF(AND(H2="Active", G2&gt;10), "Star", "Under Review")</calculatedColumnFormula>
    </tableColumn>
    <tableColumn id="11" xr3:uid="{000B016B-7202-43D3-8C50-5A5A3287AC05}" name="Contract Recommendation" dataDxfId="1">
      <calculatedColumnFormula>IF(AND(H2="Injured", G2&lt;5), "Review Contract", "Keep Player")</calculatedColumnFormula>
    </tableColumn>
    <tableColumn id="12" xr3:uid="{033C6031-D2B0-4212-9310-80391BBA0A0F}" name="year" dataDxfId="0">
      <calculatedColumnFormula>YEAR(Table1[[#This Row],[Date of Joining]])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0BAE-43B5-41F6-BAFF-9EAF491B7EE4}">
  <dimension ref="A3:I17"/>
  <sheetViews>
    <sheetView topLeftCell="A3" workbookViewId="0">
      <selection activeCell="I15" sqref="I15"/>
    </sheetView>
  </sheetViews>
  <sheetFormatPr defaultRowHeight="15"/>
  <cols>
    <col min="1" max="1" width="12.140625" bestFit="1" customWidth="1"/>
    <col min="2" max="2" width="21.5703125" bestFit="1" customWidth="1"/>
    <col min="3" max="3" width="21.85546875" bestFit="1" customWidth="1"/>
    <col min="4" max="4" width="10" bestFit="1" customWidth="1"/>
    <col min="6" max="6" width="11.42578125" bestFit="1" customWidth="1"/>
    <col min="7" max="7" width="28" bestFit="1" customWidth="1"/>
  </cols>
  <sheetData>
    <row r="3" spans="1:9" ht="15.75" customHeight="1"/>
    <row r="4" spans="1:9" s="10" customFormat="1">
      <c r="A4" s="9" t="s">
        <v>0</v>
      </c>
      <c r="B4" s="10" t="s">
        <v>1</v>
      </c>
      <c r="C4" s="10" t="s">
        <v>2</v>
      </c>
      <c r="D4" s="1" t="s">
        <v>3</v>
      </c>
      <c r="F4" s="7" t="s">
        <v>4</v>
      </c>
      <c r="G4" t="s">
        <v>5</v>
      </c>
      <c r="H4"/>
      <c r="I4"/>
    </row>
    <row r="5" spans="1:9">
      <c r="A5" t="s">
        <v>6</v>
      </c>
      <c r="B5" s="8">
        <v>34300</v>
      </c>
      <c r="C5" s="8">
        <v>45000</v>
      </c>
      <c r="D5">
        <f>C5-B5</f>
        <v>10700</v>
      </c>
      <c r="F5">
        <v>2018</v>
      </c>
      <c r="G5" s="8">
        <v>7</v>
      </c>
    </row>
    <row r="6" spans="1:9">
      <c r="A6" t="s">
        <v>7</v>
      </c>
      <c r="B6" s="8">
        <v>22500</v>
      </c>
      <c r="C6" s="8">
        <v>13500</v>
      </c>
      <c r="D6">
        <f t="shared" ref="D6:D15" si="0">C6-B6</f>
        <v>-9000</v>
      </c>
      <c r="F6">
        <v>2019</v>
      </c>
      <c r="G6" s="8">
        <v>8</v>
      </c>
    </row>
    <row r="7" spans="1:9">
      <c r="A7" t="s">
        <v>8</v>
      </c>
      <c r="B7" s="8">
        <v>187000</v>
      </c>
      <c r="C7" s="8">
        <v>220000</v>
      </c>
      <c r="D7">
        <f t="shared" si="0"/>
        <v>33000</v>
      </c>
      <c r="F7">
        <v>2020</v>
      </c>
      <c r="G7" s="8">
        <v>6</v>
      </c>
    </row>
    <row r="8" spans="1:9">
      <c r="A8" t="s">
        <v>9</v>
      </c>
      <c r="B8" s="8">
        <v>34100</v>
      </c>
      <c r="C8" s="8">
        <v>55000</v>
      </c>
      <c r="D8">
        <f t="shared" si="0"/>
        <v>20900</v>
      </c>
      <c r="F8">
        <v>2021</v>
      </c>
      <c r="G8" s="8">
        <v>8</v>
      </c>
    </row>
    <row r="9" spans="1:9">
      <c r="A9" t="s">
        <v>10</v>
      </c>
      <c r="B9" s="8">
        <v>22000</v>
      </c>
      <c r="C9" s="8">
        <v>10000</v>
      </c>
      <c r="D9">
        <f t="shared" si="0"/>
        <v>-12000</v>
      </c>
      <c r="F9">
        <v>2022</v>
      </c>
      <c r="G9" s="8">
        <v>9</v>
      </c>
    </row>
    <row r="10" spans="1:9">
      <c r="A10" t="s">
        <v>11</v>
      </c>
      <c r="B10" s="8">
        <v>9000</v>
      </c>
      <c r="C10" s="8">
        <v>3500</v>
      </c>
      <c r="D10">
        <f t="shared" si="0"/>
        <v>-5500</v>
      </c>
      <c r="F10">
        <v>2023</v>
      </c>
      <c r="G10" s="8">
        <v>12</v>
      </c>
    </row>
    <row r="11" spans="1:9">
      <c r="A11" t="s">
        <v>12</v>
      </c>
      <c r="B11" s="8">
        <v>70500</v>
      </c>
      <c r="C11" s="8">
        <v>76000</v>
      </c>
      <c r="D11">
        <f t="shared" si="0"/>
        <v>5500</v>
      </c>
      <c r="F11" t="s">
        <v>13</v>
      </c>
      <c r="G11" s="8">
        <v>50</v>
      </c>
    </row>
    <row r="12" spans="1:9">
      <c r="A12" t="s">
        <v>14</v>
      </c>
      <c r="B12" s="8">
        <v>46300</v>
      </c>
      <c r="C12" s="8">
        <v>60000</v>
      </c>
      <c r="D12">
        <f t="shared" si="0"/>
        <v>13700</v>
      </c>
    </row>
    <row r="13" spans="1:9">
      <c r="A13" t="s">
        <v>15</v>
      </c>
      <c r="B13" s="8">
        <v>10500</v>
      </c>
      <c r="C13" s="8">
        <v>14000</v>
      </c>
      <c r="D13">
        <f t="shared" si="0"/>
        <v>3500</v>
      </c>
    </row>
    <row r="14" spans="1:9">
      <c r="A14" t="s">
        <v>16</v>
      </c>
      <c r="B14" s="8">
        <v>16000</v>
      </c>
      <c r="C14" s="8">
        <v>9800</v>
      </c>
      <c r="D14">
        <f t="shared" si="0"/>
        <v>-6200</v>
      </c>
    </row>
    <row r="15" spans="1:9">
      <c r="A15" t="s">
        <v>17</v>
      </c>
      <c r="B15" s="8">
        <v>50900</v>
      </c>
      <c r="C15" s="8">
        <v>32500</v>
      </c>
      <c r="D15">
        <f t="shared" si="0"/>
        <v>-18400</v>
      </c>
    </row>
    <row r="16" spans="1:9">
      <c r="A16" t="s">
        <v>18</v>
      </c>
      <c r="B16" s="8">
        <v>6000</v>
      </c>
      <c r="C16" s="8">
        <v>4000</v>
      </c>
      <c r="D16">
        <f>C16-B16</f>
        <v>-2000</v>
      </c>
    </row>
    <row r="17" spans="1:3">
      <c r="A17" t="s">
        <v>13</v>
      </c>
      <c r="B17" s="8">
        <v>509100</v>
      </c>
      <c r="C17" s="8">
        <v>543300</v>
      </c>
    </row>
  </sheetData>
  <conditionalFormatting sqref="D6:D16">
    <cfRule type="cellIs" dxfId="18" priority="4" operator="lessThan">
      <formula>0</formula>
    </cfRule>
  </conditionalFormatting>
  <conditionalFormatting pivot="1" sqref="G10">
    <cfRule type="top10" dxfId="17" priority="3" rank="1"/>
  </conditionalFormatting>
  <conditionalFormatting sqref="F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4B76830-D60F-4204-A12C-E5143BF723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F413-7086-47E4-9C9D-C47EE8E22915}">
  <dimension ref="A3:B6"/>
  <sheetViews>
    <sheetView workbookViewId="0">
      <selection activeCell="A9" sqref="A9"/>
    </sheetView>
  </sheetViews>
  <sheetFormatPr defaultRowHeight="15"/>
  <cols>
    <col min="1" max="1" width="9.5703125" bestFit="1" customWidth="1"/>
    <col min="2" max="2" width="14.5703125" bestFit="1" customWidth="1"/>
  </cols>
  <sheetData>
    <row r="3" spans="1:2">
      <c r="A3" s="7" t="s">
        <v>19</v>
      </c>
      <c r="B3" t="s">
        <v>20</v>
      </c>
    </row>
    <row r="4" spans="1:2">
      <c r="A4" t="s">
        <v>21</v>
      </c>
      <c r="B4" s="8">
        <v>25</v>
      </c>
    </row>
    <row r="5" spans="1:2">
      <c r="A5" t="s">
        <v>22</v>
      </c>
      <c r="B5" s="8">
        <v>19</v>
      </c>
    </row>
    <row r="6" spans="1:2">
      <c r="A6" t="s">
        <v>23</v>
      </c>
      <c r="B6" s="8">
        <v>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A93-6C9F-4045-B8A5-FEEB3B57B0BF}">
  <dimension ref="A3:C16"/>
  <sheetViews>
    <sheetView topLeftCell="A2" workbookViewId="0">
      <selection activeCell="A16" sqref="A16"/>
    </sheetView>
  </sheetViews>
  <sheetFormatPr defaultRowHeight="15"/>
  <cols>
    <col min="1" max="1" width="12.140625" bestFit="1" customWidth="1"/>
    <col min="2" max="2" width="21.85546875" bestFit="1" customWidth="1"/>
    <col min="3" max="3" width="21.5703125" bestFit="1" customWidth="1"/>
  </cols>
  <sheetData>
    <row r="3" spans="1:3">
      <c r="A3" s="7" t="s">
        <v>0</v>
      </c>
      <c r="B3" t="s">
        <v>2</v>
      </c>
      <c r="C3" t="s">
        <v>1</v>
      </c>
    </row>
    <row r="4" spans="1:3">
      <c r="A4" t="s">
        <v>6</v>
      </c>
      <c r="B4" s="8">
        <v>45000</v>
      </c>
      <c r="C4" s="8">
        <v>34300</v>
      </c>
    </row>
    <row r="5" spans="1:3">
      <c r="A5" t="s">
        <v>7</v>
      </c>
      <c r="B5" s="8">
        <v>13500</v>
      </c>
      <c r="C5" s="8">
        <v>22500</v>
      </c>
    </row>
    <row r="6" spans="1:3">
      <c r="A6" t="s">
        <v>8</v>
      </c>
      <c r="B6" s="8">
        <v>220000</v>
      </c>
      <c r="C6" s="8">
        <v>187000</v>
      </c>
    </row>
    <row r="7" spans="1:3">
      <c r="A7" t="s">
        <v>9</v>
      </c>
      <c r="B7" s="8">
        <v>55000</v>
      </c>
      <c r="C7" s="8">
        <v>34100</v>
      </c>
    </row>
    <row r="8" spans="1:3">
      <c r="A8" t="s">
        <v>10</v>
      </c>
      <c r="B8" s="8">
        <v>10000</v>
      </c>
      <c r="C8" s="8">
        <v>22000</v>
      </c>
    </row>
    <row r="9" spans="1:3">
      <c r="A9" t="s">
        <v>11</v>
      </c>
      <c r="B9" s="8">
        <v>3500</v>
      </c>
      <c r="C9" s="8">
        <v>9000</v>
      </c>
    </row>
    <row r="10" spans="1:3">
      <c r="A10" t="s">
        <v>12</v>
      </c>
      <c r="B10" s="8">
        <v>76000</v>
      </c>
      <c r="C10" s="8">
        <v>70500</v>
      </c>
    </row>
    <row r="11" spans="1:3">
      <c r="A11" t="s">
        <v>14</v>
      </c>
      <c r="B11" s="8">
        <v>60000</v>
      </c>
      <c r="C11" s="8">
        <v>46300</v>
      </c>
    </row>
    <row r="12" spans="1:3">
      <c r="A12" t="s">
        <v>15</v>
      </c>
      <c r="B12" s="8">
        <v>14000</v>
      </c>
      <c r="C12" s="8">
        <v>10500</v>
      </c>
    </row>
    <row r="13" spans="1:3">
      <c r="A13" t="s">
        <v>16</v>
      </c>
      <c r="B13" s="8">
        <v>9800</v>
      </c>
      <c r="C13" s="8">
        <v>16000</v>
      </c>
    </row>
    <row r="14" spans="1:3">
      <c r="A14" t="s">
        <v>17</v>
      </c>
      <c r="B14" s="8">
        <v>32500</v>
      </c>
      <c r="C14" s="8">
        <v>50900</v>
      </c>
    </row>
    <row r="15" spans="1:3">
      <c r="A15" t="s">
        <v>18</v>
      </c>
      <c r="B15" s="8">
        <v>4000</v>
      </c>
      <c r="C15" s="8">
        <v>6000</v>
      </c>
    </row>
    <row r="16" spans="1:3">
      <c r="A16" t="s">
        <v>13</v>
      </c>
      <c r="B16" s="8">
        <v>543300</v>
      </c>
      <c r="C16" s="8">
        <v>509100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A718-7A5B-4768-A6BB-CBC6FE6E14B3}">
  <dimension ref="A3:B16"/>
  <sheetViews>
    <sheetView workbookViewId="0">
      <selection activeCell="B19" sqref="B19"/>
    </sheetView>
  </sheetViews>
  <sheetFormatPr defaultRowHeight="15"/>
  <cols>
    <col min="1" max="1" width="12.140625" bestFit="1" customWidth="1"/>
    <col min="2" max="2" width="17.42578125" bestFit="1" customWidth="1"/>
  </cols>
  <sheetData>
    <row r="3" spans="1:2">
      <c r="A3" s="7" t="s">
        <v>0</v>
      </c>
      <c r="B3" t="s">
        <v>24</v>
      </c>
    </row>
    <row r="4" spans="1:2">
      <c r="A4" t="s">
        <v>6</v>
      </c>
      <c r="B4" s="8">
        <v>5</v>
      </c>
    </row>
    <row r="5" spans="1:2">
      <c r="A5" t="s">
        <v>7</v>
      </c>
      <c r="B5" s="8">
        <v>3</v>
      </c>
    </row>
    <row r="6" spans="1:2">
      <c r="A6" t="s">
        <v>8</v>
      </c>
      <c r="B6" s="8">
        <v>10</v>
      </c>
    </row>
    <row r="7" spans="1:2">
      <c r="A7" t="s">
        <v>9</v>
      </c>
      <c r="B7" s="8">
        <v>5</v>
      </c>
    </row>
    <row r="8" spans="1:2">
      <c r="A8" t="s">
        <v>10</v>
      </c>
      <c r="B8" s="8">
        <v>2</v>
      </c>
    </row>
    <row r="9" spans="1:2">
      <c r="A9" t="s">
        <v>11</v>
      </c>
      <c r="B9" s="8">
        <v>1</v>
      </c>
    </row>
    <row r="10" spans="1:2">
      <c r="A10" t="s">
        <v>12</v>
      </c>
      <c r="B10" s="8">
        <v>8</v>
      </c>
    </row>
    <row r="11" spans="1:2">
      <c r="A11" t="s">
        <v>14</v>
      </c>
      <c r="B11" s="8">
        <v>6</v>
      </c>
    </row>
    <row r="12" spans="1:2">
      <c r="A12" t="s">
        <v>15</v>
      </c>
      <c r="B12" s="8">
        <v>2</v>
      </c>
    </row>
    <row r="13" spans="1:2">
      <c r="A13" t="s">
        <v>16</v>
      </c>
      <c r="B13" s="8">
        <v>2</v>
      </c>
    </row>
    <row r="14" spans="1:2">
      <c r="A14" t="s">
        <v>17</v>
      </c>
      <c r="B14" s="8">
        <v>5</v>
      </c>
    </row>
    <row r="15" spans="1:2">
      <c r="A15" t="s">
        <v>18</v>
      </c>
      <c r="B15" s="8">
        <v>1</v>
      </c>
    </row>
    <row r="16" spans="1:2">
      <c r="A16" t="s">
        <v>23</v>
      </c>
      <c r="B16" s="8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50E1-7594-4858-829B-630179382BFA}">
  <dimension ref="A1:B13"/>
  <sheetViews>
    <sheetView workbookViewId="0">
      <selection activeCell="B9" sqref="B9"/>
    </sheetView>
  </sheetViews>
  <sheetFormatPr defaultRowHeight="15"/>
  <cols>
    <col min="1" max="1" width="12.5703125" bestFit="1" customWidth="1"/>
  </cols>
  <sheetData>
    <row r="1" spans="1:2">
      <c r="A1" t="s">
        <v>25</v>
      </c>
      <c r="B1" t="s">
        <v>26</v>
      </c>
    </row>
    <row r="2" spans="1:2">
      <c r="A2" t="s">
        <v>8</v>
      </c>
      <c r="B2">
        <v>22000</v>
      </c>
    </row>
    <row r="3" spans="1:2">
      <c r="A3" t="s">
        <v>6</v>
      </c>
      <c r="B3">
        <v>9000</v>
      </c>
    </row>
    <row r="4" spans="1:2">
      <c r="A4" t="s">
        <v>9</v>
      </c>
      <c r="B4">
        <v>11000</v>
      </c>
    </row>
    <row r="5" spans="1:2">
      <c r="A5" t="s">
        <v>14</v>
      </c>
      <c r="B5">
        <v>10000</v>
      </c>
    </row>
    <row r="6" spans="1:2">
      <c r="A6" t="s">
        <v>17</v>
      </c>
      <c r="B6">
        <v>6500</v>
      </c>
    </row>
    <row r="7" spans="1:2">
      <c r="A7" t="s">
        <v>12</v>
      </c>
      <c r="B7">
        <v>9500</v>
      </c>
    </row>
    <row r="8" spans="1:2">
      <c r="A8" t="s">
        <v>15</v>
      </c>
      <c r="B8">
        <v>7000</v>
      </c>
    </row>
    <row r="9" spans="1:2">
      <c r="A9" t="s">
        <v>18</v>
      </c>
      <c r="B9">
        <v>4000</v>
      </c>
    </row>
    <row r="10" spans="1:2">
      <c r="A10" t="s">
        <v>10</v>
      </c>
      <c r="B10">
        <v>5000</v>
      </c>
    </row>
    <row r="11" spans="1:2">
      <c r="A11" t="s">
        <v>16</v>
      </c>
      <c r="B11">
        <v>4900</v>
      </c>
    </row>
    <row r="12" spans="1:2">
      <c r="A12" t="s">
        <v>7</v>
      </c>
      <c r="B12">
        <v>4500</v>
      </c>
    </row>
    <row r="13" spans="1:2">
      <c r="A13" t="s">
        <v>11</v>
      </c>
      <c r="B13">
        <v>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E2" activePane="bottomLeft" state="frozen"/>
      <selection pane="bottomLeft" activeCell="E45" sqref="E45"/>
    </sheetView>
  </sheetViews>
  <sheetFormatPr defaultColWidth="9.140625" defaultRowHeight="15"/>
  <cols>
    <col min="1" max="1" width="12.140625" bestFit="1" customWidth="1"/>
    <col min="2" max="2" width="22.140625" bestFit="1" customWidth="1"/>
    <col min="3" max="3" width="12.85546875" bestFit="1" customWidth="1"/>
    <col min="5" max="5" width="16.42578125" bestFit="1" customWidth="1"/>
    <col min="6" max="6" width="17.140625" bestFit="1" customWidth="1"/>
    <col min="7" max="7" width="15.5703125" bestFit="1" customWidth="1"/>
    <col min="9" max="9" width="15.28515625" customWidth="1"/>
    <col min="10" max="10" width="24.5703125" customWidth="1"/>
    <col min="11" max="11" width="27.140625" bestFit="1" customWidth="1"/>
    <col min="22" max="24" width="9.140625" bestFit="1" customWidth="1"/>
    <col min="25" max="25" width="4.7109375" bestFit="1" customWidth="1"/>
  </cols>
  <sheetData>
    <row r="1" spans="1:12" s="1" customFormat="1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  <c r="I1" s="1" t="s">
        <v>33</v>
      </c>
      <c r="J1" s="6" t="s">
        <v>34</v>
      </c>
      <c r="K1" s="1" t="s">
        <v>35</v>
      </c>
      <c r="L1" s="1" t="s">
        <v>4</v>
      </c>
    </row>
    <row r="2" spans="1:12">
      <c r="A2" s="2">
        <v>1001</v>
      </c>
      <c r="B2" s="2" t="s">
        <v>36</v>
      </c>
      <c r="C2" s="2" t="s">
        <v>8</v>
      </c>
      <c r="D2" s="2" t="s">
        <v>37</v>
      </c>
      <c r="E2" s="3">
        <v>44695</v>
      </c>
      <c r="F2" s="2">
        <v>30000</v>
      </c>
      <c r="G2" s="2">
        <v>50</v>
      </c>
      <c r="H2" s="2" t="s">
        <v>21</v>
      </c>
      <c r="I2" s="2">
        <f>_xlfn.XLOOKUP(C2,'Sponsorship '!A$2:A$13,'Sponsorship '!B$2:B$13)</f>
        <v>22000</v>
      </c>
      <c r="J2" s="4" t="str">
        <f t="shared" ref="J2:J33" si="0">IF(AND(H2="Active", G2&gt;10), "Star", "Under Review")</f>
        <v>Star</v>
      </c>
      <c r="K2" s="4" t="str">
        <f t="shared" ref="K2:K33" si="1">IF(AND(H2="Injured", G2&lt;5), "Review Contract", "Keep Player")</f>
        <v>Keep Player</v>
      </c>
      <c r="L2" s="12">
        <f>YEAR(Table1[[#This Row],[Date of Joining]])</f>
        <v>2022</v>
      </c>
    </row>
    <row r="3" spans="1:12">
      <c r="A3" s="2">
        <v>1002</v>
      </c>
      <c r="B3" s="2" t="s">
        <v>38</v>
      </c>
      <c r="C3" s="2" t="s">
        <v>8</v>
      </c>
      <c r="D3" s="2" t="s">
        <v>37</v>
      </c>
      <c r="E3" s="3">
        <v>44138</v>
      </c>
      <c r="F3" s="2">
        <v>28000</v>
      </c>
      <c r="G3" s="2">
        <v>40</v>
      </c>
      <c r="H3" s="2" t="s">
        <v>21</v>
      </c>
      <c r="I3" s="2">
        <f>_xlfn.XLOOKUP(C3,'Sponsorship '!A$2:A$13,'Sponsorship '!B$2:B$13)</f>
        <v>22000</v>
      </c>
      <c r="J3" s="2" t="str">
        <f t="shared" si="0"/>
        <v>Star</v>
      </c>
      <c r="K3" s="2" t="str">
        <f t="shared" si="1"/>
        <v>Keep Player</v>
      </c>
      <c r="L3" s="11">
        <f>YEAR(Table1[[#This Row],[Date of Joining]])</f>
        <v>2020</v>
      </c>
    </row>
    <row r="4" spans="1:12">
      <c r="A4" s="2">
        <v>1003</v>
      </c>
      <c r="B4" s="2" t="s">
        <v>39</v>
      </c>
      <c r="C4" s="2" t="s">
        <v>8</v>
      </c>
      <c r="D4" s="2" t="s">
        <v>37</v>
      </c>
      <c r="E4" s="3">
        <v>43668</v>
      </c>
      <c r="F4" s="2">
        <v>22000</v>
      </c>
      <c r="G4" s="2">
        <v>25</v>
      </c>
      <c r="H4" s="2" t="s">
        <v>21</v>
      </c>
      <c r="I4" s="2">
        <f>_xlfn.XLOOKUP(C4,'Sponsorship '!A$2:A$13,'Sponsorship '!B$2:B$13)</f>
        <v>22000</v>
      </c>
      <c r="J4" s="2" t="str">
        <f t="shared" si="0"/>
        <v>Star</v>
      </c>
      <c r="K4" s="2" t="str">
        <f t="shared" si="1"/>
        <v>Keep Player</v>
      </c>
      <c r="L4" s="11">
        <f>YEAR(Table1[[#This Row],[Date of Joining]])</f>
        <v>2019</v>
      </c>
    </row>
    <row r="5" spans="1:12">
      <c r="A5" s="2">
        <v>1004</v>
      </c>
      <c r="B5" s="2" t="s">
        <v>40</v>
      </c>
      <c r="C5" s="2" t="s">
        <v>8</v>
      </c>
      <c r="D5" s="2" t="s">
        <v>37</v>
      </c>
      <c r="E5" s="3">
        <v>44263</v>
      </c>
      <c r="F5" s="2">
        <v>23000</v>
      </c>
      <c r="G5" s="2">
        <v>38</v>
      </c>
      <c r="H5" s="2" t="s">
        <v>21</v>
      </c>
      <c r="I5" s="2">
        <f>_xlfn.XLOOKUP(C5,'Sponsorship '!A$2:A$13,'Sponsorship '!B$2:B$13)</f>
        <v>22000</v>
      </c>
      <c r="J5" s="2" t="str">
        <f t="shared" si="0"/>
        <v>Star</v>
      </c>
      <c r="K5" s="2" t="str">
        <f t="shared" si="1"/>
        <v>Keep Player</v>
      </c>
      <c r="L5" s="11">
        <f>YEAR(Table1[[#This Row],[Date of Joining]])</f>
        <v>2021</v>
      </c>
    </row>
    <row r="6" spans="1:12">
      <c r="A6" s="2">
        <v>1005</v>
      </c>
      <c r="B6" s="2" t="s">
        <v>41</v>
      </c>
      <c r="C6" s="2" t="s">
        <v>8</v>
      </c>
      <c r="D6" s="2" t="s">
        <v>42</v>
      </c>
      <c r="E6" s="3">
        <v>44943</v>
      </c>
      <c r="F6" s="2">
        <v>19000</v>
      </c>
      <c r="G6" s="2">
        <v>24</v>
      </c>
      <c r="H6" s="2" t="s">
        <v>43</v>
      </c>
      <c r="I6" s="2">
        <f>_xlfn.XLOOKUP(C6,'Sponsorship '!A$2:A$13,'Sponsorship '!B$2:B$13)</f>
        <v>22000</v>
      </c>
      <c r="J6" s="2" t="str">
        <f t="shared" si="0"/>
        <v>Under Review</v>
      </c>
      <c r="K6" s="2" t="str">
        <f t="shared" si="1"/>
        <v>Keep Player</v>
      </c>
      <c r="L6" s="11">
        <f>YEAR(Table1[[#This Row],[Date of Joining]])</f>
        <v>2023</v>
      </c>
    </row>
    <row r="7" spans="1:12">
      <c r="A7" s="2">
        <v>1006</v>
      </c>
      <c r="B7" s="2" t="s">
        <v>44</v>
      </c>
      <c r="C7" s="2" t="s">
        <v>8</v>
      </c>
      <c r="D7" s="2" t="s">
        <v>37</v>
      </c>
      <c r="E7" s="3">
        <v>45199</v>
      </c>
      <c r="F7" s="2">
        <v>26000</v>
      </c>
      <c r="G7" s="2">
        <v>25</v>
      </c>
      <c r="H7" s="2" t="s">
        <v>21</v>
      </c>
      <c r="I7" s="2">
        <f>_xlfn.XLOOKUP(C7,'Sponsorship '!A$2:A$13,'Sponsorship '!B$2:B$13)</f>
        <v>22000</v>
      </c>
      <c r="J7" s="2" t="str">
        <f t="shared" si="0"/>
        <v>Star</v>
      </c>
      <c r="K7" s="2" t="str">
        <f t="shared" si="1"/>
        <v>Keep Player</v>
      </c>
      <c r="L7" s="11">
        <f>YEAR(Table1[[#This Row],[Date of Joining]])</f>
        <v>2023</v>
      </c>
    </row>
    <row r="8" spans="1:12">
      <c r="A8" s="2">
        <v>1007</v>
      </c>
      <c r="B8" s="2" t="s">
        <v>45</v>
      </c>
      <c r="C8" s="2" t="s">
        <v>8</v>
      </c>
      <c r="D8" s="2" t="s">
        <v>42</v>
      </c>
      <c r="E8" s="3">
        <v>43993</v>
      </c>
      <c r="F8" s="2">
        <v>10000</v>
      </c>
      <c r="G8" s="2">
        <v>23</v>
      </c>
      <c r="H8" s="2" t="s">
        <v>22</v>
      </c>
      <c r="I8" s="2">
        <f>_xlfn.XLOOKUP(C8,'Sponsorship '!A$2:A$13,'Sponsorship '!B$2:B$13)</f>
        <v>22000</v>
      </c>
      <c r="J8" s="2" t="str">
        <f t="shared" si="0"/>
        <v>Under Review</v>
      </c>
      <c r="K8" s="2" t="str">
        <f t="shared" si="1"/>
        <v>Keep Player</v>
      </c>
      <c r="L8" s="11">
        <f>YEAR(Table1[[#This Row],[Date of Joining]])</f>
        <v>2020</v>
      </c>
    </row>
    <row r="9" spans="1:12">
      <c r="A9" s="2">
        <v>1008</v>
      </c>
      <c r="B9" s="2" t="s">
        <v>46</v>
      </c>
      <c r="C9" s="2" t="s">
        <v>8</v>
      </c>
      <c r="D9" s="2" t="s">
        <v>42</v>
      </c>
      <c r="E9" s="3">
        <v>44920</v>
      </c>
      <c r="F9" s="2">
        <v>12000</v>
      </c>
      <c r="G9" s="2">
        <v>20</v>
      </c>
      <c r="H9" s="2" t="s">
        <v>22</v>
      </c>
      <c r="I9" s="2">
        <f>_xlfn.XLOOKUP(C9,'Sponsorship '!A$2:A$13,'Sponsorship '!B$2:B$13)</f>
        <v>22000</v>
      </c>
      <c r="J9" s="2" t="str">
        <f t="shared" si="0"/>
        <v>Under Review</v>
      </c>
      <c r="K9" s="2" t="str">
        <f t="shared" si="1"/>
        <v>Keep Player</v>
      </c>
      <c r="L9" s="11">
        <f>YEAR(Table1[[#This Row],[Date of Joining]])</f>
        <v>2022</v>
      </c>
    </row>
    <row r="10" spans="1:12">
      <c r="A10" s="2">
        <v>1009</v>
      </c>
      <c r="B10" s="2" t="s">
        <v>47</v>
      </c>
      <c r="C10" s="2" t="s">
        <v>8</v>
      </c>
      <c r="D10" s="2" t="s">
        <v>37</v>
      </c>
      <c r="E10" s="3">
        <v>43560</v>
      </c>
      <c r="F10" s="2">
        <v>12000</v>
      </c>
      <c r="G10" s="2">
        <v>27</v>
      </c>
      <c r="H10" s="2" t="s">
        <v>21</v>
      </c>
      <c r="I10" s="2">
        <f>_xlfn.XLOOKUP(C10,'Sponsorship '!A$2:A$13,'Sponsorship '!B$2:B$13)</f>
        <v>22000</v>
      </c>
      <c r="J10" s="2" t="str">
        <f t="shared" si="0"/>
        <v>Star</v>
      </c>
      <c r="K10" s="2" t="str">
        <f t="shared" si="1"/>
        <v>Keep Player</v>
      </c>
      <c r="L10" s="11">
        <f>YEAR(Table1[[#This Row],[Date of Joining]])</f>
        <v>2019</v>
      </c>
    </row>
    <row r="11" spans="1:12">
      <c r="A11" s="2">
        <v>1010</v>
      </c>
      <c r="B11" s="2" t="s">
        <v>48</v>
      </c>
      <c r="C11" s="2" t="s">
        <v>8</v>
      </c>
      <c r="D11" s="2" t="s">
        <v>42</v>
      </c>
      <c r="E11" s="3">
        <v>44427</v>
      </c>
      <c r="F11" s="2">
        <v>5000</v>
      </c>
      <c r="G11" s="2">
        <v>22</v>
      </c>
      <c r="H11" s="2" t="s">
        <v>43</v>
      </c>
      <c r="I11" s="2">
        <f>_xlfn.XLOOKUP(C11,'Sponsorship '!A$2:A$13,'Sponsorship '!B$2:B$13)</f>
        <v>22000</v>
      </c>
      <c r="J11" s="2" t="str">
        <f t="shared" si="0"/>
        <v>Under Review</v>
      </c>
      <c r="K11" s="2" t="str">
        <f t="shared" si="1"/>
        <v>Keep Player</v>
      </c>
      <c r="L11" s="11">
        <f>YEAR(Table1[[#This Row],[Date of Joining]])</f>
        <v>2021</v>
      </c>
    </row>
    <row r="12" spans="1:12">
      <c r="A12" s="2">
        <v>1011</v>
      </c>
      <c r="B12" s="2" t="s">
        <v>49</v>
      </c>
      <c r="C12" s="2" t="s">
        <v>15</v>
      </c>
      <c r="D12" s="2" t="s">
        <v>42</v>
      </c>
      <c r="E12" s="3">
        <v>44987</v>
      </c>
      <c r="F12" s="2">
        <v>6000</v>
      </c>
      <c r="G12" s="2">
        <v>20</v>
      </c>
      <c r="H12" s="2" t="s">
        <v>21</v>
      </c>
      <c r="I12" s="2">
        <f>_xlfn.XLOOKUP(C12,'Sponsorship '!A$2:A$13,'Sponsorship '!B$2:B$13)</f>
        <v>7000</v>
      </c>
      <c r="J12" s="2" t="str">
        <f t="shared" si="0"/>
        <v>Star</v>
      </c>
      <c r="K12" s="2" t="str">
        <f t="shared" si="1"/>
        <v>Keep Player</v>
      </c>
      <c r="L12" s="11">
        <f>YEAR(Table1[[#This Row],[Date of Joining]])</f>
        <v>2023</v>
      </c>
    </row>
    <row r="13" spans="1:12">
      <c r="A13" s="2">
        <v>1012</v>
      </c>
      <c r="B13" s="2" t="s">
        <v>50</v>
      </c>
      <c r="C13" s="2" t="s">
        <v>15</v>
      </c>
      <c r="D13" s="2" t="s">
        <v>51</v>
      </c>
      <c r="E13" s="3">
        <v>43418</v>
      </c>
      <c r="F13" s="2">
        <v>4500</v>
      </c>
      <c r="G13" s="2">
        <v>25</v>
      </c>
      <c r="H13" s="2" t="s">
        <v>21</v>
      </c>
      <c r="I13" s="2">
        <f>_xlfn.XLOOKUP(C13,'Sponsorship '!A$2:A$13,'Sponsorship '!B$2:B$13)</f>
        <v>7000</v>
      </c>
      <c r="J13" s="2" t="str">
        <f t="shared" si="0"/>
        <v>Star</v>
      </c>
      <c r="K13" s="2" t="str">
        <f t="shared" si="1"/>
        <v>Keep Player</v>
      </c>
      <c r="L13" s="11">
        <f>YEAR(Table1[[#This Row],[Date of Joining]])</f>
        <v>2018</v>
      </c>
    </row>
    <row r="14" spans="1:12">
      <c r="A14" s="2">
        <v>1013</v>
      </c>
      <c r="B14" s="2" t="s">
        <v>52</v>
      </c>
      <c r="C14" s="2" t="s">
        <v>18</v>
      </c>
      <c r="D14" s="2" t="s">
        <v>42</v>
      </c>
      <c r="E14" s="3">
        <v>43889</v>
      </c>
      <c r="F14" s="2">
        <v>6000</v>
      </c>
      <c r="G14" s="2">
        <v>4</v>
      </c>
      <c r="H14" s="2" t="s">
        <v>22</v>
      </c>
      <c r="I14" s="2">
        <f>_xlfn.XLOOKUP(C14,'Sponsorship '!A$2:A$13,'Sponsorship '!B$2:B$13)</f>
        <v>4000</v>
      </c>
      <c r="J14" s="2" t="str">
        <f t="shared" si="0"/>
        <v>Under Review</v>
      </c>
      <c r="K14" s="2" t="str">
        <f t="shared" si="1"/>
        <v>Review Contract</v>
      </c>
      <c r="L14" s="11">
        <f>YEAR(Table1[[#This Row],[Date of Joining]])</f>
        <v>2020</v>
      </c>
    </row>
    <row r="15" spans="1:12">
      <c r="A15" s="2">
        <v>1014</v>
      </c>
      <c r="B15" s="2" t="s">
        <v>53</v>
      </c>
      <c r="C15" s="2" t="s">
        <v>10</v>
      </c>
      <c r="D15" s="2" t="s">
        <v>37</v>
      </c>
      <c r="E15" s="3">
        <v>44751</v>
      </c>
      <c r="F15" s="2">
        <v>11000</v>
      </c>
      <c r="G15" s="2">
        <v>9</v>
      </c>
      <c r="H15" s="2" t="s">
        <v>21</v>
      </c>
      <c r="I15" s="2">
        <f>_xlfn.XLOOKUP(C15,'Sponsorship '!A$2:A$13,'Sponsorship '!B$2:B$13)</f>
        <v>5000</v>
      </c>
      <c r="J15" s="2" t="str">
        <f t="shared" si="0"/>
        <v>Under Review</v>
      </c>
      <c r="K15" s="2" t="str">
        <f t="shared" si="1"/>
        <v>Keep Player</v>
      </c>
      <c r="L15" s="11">
        <f>YEAR(Table1[[#This Row],[Date of Joining]])</f>
        <v>2022</v>
      </c>
    </row>
    <row r="16" spans="1:12">
      <c r="A16" s="2">
        <v>1015</v>
      </c>
      <c r="B16" s="2" t="s">
        <v>54</v>
      </c>
      <c r="C16" s="2" t="s">
        <v>10</v>
      </c>
      <c r="D16" s="2" t="s">
        <v>37</v>
      </c>
      <c r="E16" s="3">
        <v>43759</v>
      </c>
      <c r="F16" s="2">
        <v>11000</v>
      </c>
      <c r="G16" s="2">
        <v>13</v>
      </c>
      <c r="H16" s="2" t="s">
        <v>21</v>
      </c>
      <c r="I16" s="2">
        <f>_xlfn.XLOOKUP(C16,'Sponsorship '!A$2:A$13,'Sponsorship '!B$2:B$13)</f>
        <v>5000</v>
      </c>
      <c r="J16" s="2" t="str">
        <f>IF(AND(H16="Active", G16&gt;10), "Star", "Under Review")</f>
        <v>Star</v>
      </c>
      <c r="K16" s="2" t="str">
        <f t="shared" si="1"/>
        <v>Keep Player</v>
      </c>
      <c r="L16" s="11">
        <f>YEAR(Table1[[#This Row],[Date of Joining]])</f>
        <v>2019</v>
      </c>
    </row>
    <row r="17" spans="1:12">
      <c r="A17" s="2">
        <v>1016</v>
      </c>
      <c r="B17" s="2" t="s">
        <v>55</v>
      </c>
      <c r="C17" s="2" t="s">
        <v>16</v>
      </c>
      <c r="D17" s="2" t="s">
        <v>37</v>
      </c>
      <c r="E17" s="3">
        <v>44346</v>
      </c>
      <c r="F17" s="2">
        <v>9000</v>
      </c>
      <c r="G17" s="2">
        <v>30</v>
      </c>
      <c r="H17" s="2" t="s">
        <v>43</v>
      </c>
      <c r="I17" s="2">
        <f>_xlfn.XLOOKUP(C17,'Sponsorship '!A$2:A$13,'Sponsorship '!B$2:B$13)</f>
        <v>4900</v>
      </c>
      <c r="J17" s="2" t="str">
        <f t="shared" si="0"/>
        <v>Under Review</v>
      </c>
      <c r="K17" s="2" t="str">
        <f t="shared" si="1"/>
        <v>Keep Player</v>
      </c>
      <c r="L17" s="11">
        <f>YEAR(Table1[[#This Row],[Date of Joining]])</f>
        <v>2021</v>
      </c>
    </row>
    <row r="18" spans="1:12">
      <c r="A18" s="2">
        <v>1017</v>
      </c>
      <c r="B18" s="2" t="s">
        <v>56</v>
      </c>
      <c r="C18" s="2" t="s">
        <v>16</v>
      </c>
      <c r="D18" s="2" t="s">
        <v>37</v>
      </c>
      <c r="E18" s="3">
        <v>45092</v>
      </c>
      <c r="F18" s="2">
        <v>7000</v>
      </c>
      <c r="G18" s="2">
        <v>36</v>
      </c>
      <c r="H18" s="2" t="s">
        <v>22</v>
      </c>
      <c r="I18" s="2">
        <f>_xlfn.XLOOKUP(C18,'Sponsorship '!A$2:A$13,'Sponsorship '!B$2:B$13)</f>
        <v>4900</v>
      </c>
      <c r="J18" s="2" t="str">
        <f t="shared" si="0"/>
        <v>Under Review</v>
      </c>
      <c r="K18" s="2" t="str">
        <f t="shared" si="1"/>
        <v>Keep Player</v>
      </c>
      <c r="L18" s="11">
        <f>YEAR(Table1[[#This Row],[Date of Joining]])</f>
        <v>2023</v>
      </c>
    </row>
    <row r="19" spans="1:12">
      <c r="A19" s="2">
        <v>1018</v>
      </c>
      <c r="B19" s="2" t="s">
        <v>57</v>
      </c>
      <c r="C19" s="2" t="s">
        <v>12</v>
      </c>
      <c r="D19" s="2" t="s">
        <v>37</v>
      </c>
      <c r="E19" s="3">
        <v>43319</v>
      </c>
      <c r="F19" s="2">
        <v>3000</v>
      </c>
      <c r="G19" s="2">
        <v>30</v>
      </c>
      <c r="H19" s="2" t="s">
        <v>21</v>
      </c>
      <c r="I19" s="2">
        <f>_xlfn.XLOOKUP(C19,'Sponsorship '!A$2:A$13,'Sponsorship '!B$2:B$13)</f>
        <v>9500</v>
      </c>
      <c r="J19" s="2" t="str">
        <f t="shared" si="0"/>
        <v>Star</v>
      </c>
      <c r="K19" s="2" t="str">
        <f t="shared" si="1"/>
        <v>Keep Player</v>
      </c>
      <c r="L19" s="11">
        <f>YEAR(Table1[[#This Row],[Date of Joining]])</f>
        <v>2018</v>
      </c>
    </row>
    <row r="20" spans="1:12">
      <c r="A20" s="2">
        <v>1019</v>
      </c>
      <c r="B20" s="2" t="s">
        <v>58</v>
      </c>
      <c r="C20" s="2" t="s">
        <v>12</v>
      </c>
      <c r="D20" s="2" t="s">
        <v>37</v>
      </c>
      <c r="E20" s="3">
        <v>44184</v>
      </c>
      <c r="F20" s="2">
        <v>5000</v>
      </c>
      <c r="G20" s="2">
        <v>25</v>
      </c>
      <c r="H20" s="2" t="s">
        <v>21</v>
      </c>
      <c r="I20" s="2">
        <f>_xlfn.XLOOKUP(C20,'Sponsorship '!A$2:A$13,'Sponsorship '!B$2:B$13)</f>
        <v>9500</v>
      </c>
      <c r="J20" s="2" t="str">
        <f t="shared" si="0"/>
        <v>Star</v>
      </c>
      <c r="K20" s="2" t="str">
        <f t="shared" si="1"/>
        <v>Keep Player</v>
      </c>
      <c r="L20" s="11">
        <f>YEAR(Table1[[#This Row],[Date of Joining]])</f>
        <v>2020</v>
      </c>
    </row>
    <row r="21" spans="1:12">
      <c r="A21" s="2">
        <v>1020</v>
      </c>
      <c r="B21" s="2" t="s">
        <v>59</v>
      </c>
      <c r="C21" s="2" t="s">
        <v>12</v>
      </c>
      <c r="D21" s="2" t="s">
        <v>37</v>
      </c>
      <c r="E21" s="3">
        <v>44654</v>
      </c>
      <c r="F21" s="2">
        <v>8500</v>
      </c>
      <c r="G21" s="2">
        <v>26</v>
      </c>
      <c r="H21" s="2" t="s">
        <v>22</v>
      </c>
      <c r="I21" s="2">
        <f>_xlfn.XLOOKUP(C21,'Sponsorship '!A$2:A$13,'Sponsorship '!B$2:B$13)</f>
        <v>9500</v>
      </c>
      <c r="J21" s="2" t="str">
        <f t="shared" si="0"/>
        <v>Under Review</v>
      </c>
      <c r="K21" s="2" t="str">
        <f t="shared" si="1"/>
        <v>Keep Player</v>
      </c>
      <c r="L21" s="11">
        <f>YEAR(Table1[[#This Row],[Date of Joining]])</f>
        <v>2022</v>
      </c>
    </row>
    <row r="22" spans="1:12">
      <c r="A22" s="2">
        <v>1021</v>
      </c>
      <c r="B22" s="2" t="s">
        <v>60</v>
      </c>
      <c r="C22" s="2" t="s">
        <v>12</v>
      </c>
      <c r="D22" s="2" t="s">
        <v>37</v>
      </c>
      <c r="E22" s="3">
        <v>43491</v>
      </c>
      <c r="F22" s="2">
        <v>8000</v>
      </c>
      <c r="G22" s="2">
        <v>27</v>
      </c>
      <c r="H22" s="2" t="s">
        <v>22</v>
      </c>
      <c r="I22" s="2">
        <f>_xlfn.XLOOKUP(C22,'Sponsorship '!A$2:A$13,'Sponsorship '!B$2:B$13)</f>
        <v>9500</v>
      </c>
      <c r="J22" s="2" t="str">
        <f t="shared" si="0"/>
        <v>Under Review</v>
      </c>
      <c r="K22" s="2" t="str">
        <f t="shared" si="1"/>
        <v>Keep Player</v>
      </c>
      <c r="L22" s="11">
        <f>YEAR(Table1[[#This Row],[Date of Joining]])</f>
        <v>2019</v>
      </c>
    </row>
    <row r="23" spans="1:12">
      <c r="A23" s="2">
        <v>1022</v>
      </c>
      <c r="B23" s="2" t="s">
        <v>61</v>
      </c>
      <c r="C23" s="2" t="s">
        <v>12</v>
      </c>
      <c r="D23" s="2" t="s">
        <v>37</v>
      </c>
      <c r="E23" s="3">
        <v>44451</v>
      </c>
      <c r="F23" s="2">
        <v>12000</v>
      </c>
      <c r="G23" s="2">
        <v>20</v>
      </c>
      <c r="H23" s="2" t="s">
        <v>21</v>
      </c>
      <c r="I23" s="2">
        <f>_xlfn.XLOOKUP(C23,'Sponsorship '!A$2:A$13,'Sponsorship '!B$2:B$13)</f>
        <v>9500</v>
      </c>
      <c r="J23" s="2" t="str">
        <f t="shared" si="0"/>
        <v>Star</v>
      </c>
      <c r="K23" s="2" t="str">
        <f t="shared" si="1"/>
        <v>Keep Player</v>
      </c>
      <c r="L23" s="11">
        <f>YEAR(Table1[[#This Row],[Date of Joining]])</f>
        <v>2021</v>
      </c>
    </row>
    <row r="24" spans="1:12">
      <c r="A24" s="2">
        <v>1023</v>
      </c>
      <c r="B24" s="2" t="s">
        <v>62</v>
      </c>
      <c r="C24" s="2" t="s">
        <v>12</v>
      </c>
      <c r="D24" s="2" t="s">
        <v>37</v>
      </c>
      <c r="E24" s="3">
        <v>44965</v>
      </c>
      <c r="F24" s="2">
        <v>12000</v>
      </c>
      <c r="G24" s="2">
        <v>22</v>
      </c>
      <c r="H24" s="2" t="s">
        <v>22</v>
      </c>
      <c r="I24" s="2">
        <f>_xlfn.XLOOKUP(C24,'Sponsorship '!A$2:A$13,'Sponsorship '!B$2:B$13)</f>
        <v>9500</v>
      </c>
      <c r="J24" s="2" t="str">
        <f t="shared" si="0"/>
        <v>Under Review</v>
      </c>
      <c r="K24" s="2" t="str">
        <f t="shared" si="1"/>
        <v>Keep Player</v>
      </c>
      <c r="L24" s="11">
        <f>YEAR(Table1[[#This Row],[Date of Joining]])</f>
        <v>2023</v>
      </c>
    </row>
    <row r="25" spans="1:12">
      <c r="A25" s="2">
        <v>1024</v>
      </c>
      <c r="B25" s="2" t="s">
        <v>63</v>
      </c>
      <c r="C25" s="2" t="s">
        <v>12</v>
      </c>
      <c r="D25" s="2" t="s">
        <v>37</v>
      </c>
      <c r="E25" s="3">
        <v>43275</v>
      </c>
      <c r="F25" s="2">
        <v>13000</v>
      </c>
      <c r="G25" s="2">
        <v>19</v>
      </c>
      <c r="H25" s="2" t="s">
        <v>22</v>
      </c>
      <c r="I25" s="2">
        <f>_xlfn.XLOOKUP(C25,'Sponsorship '!A$2:A$13,'Sponsorship '!B$2:B$13)</f>
        <v>9500</v>
      </c>
      <c r="J25" s="2" t="str">
        <f t="shared" si="0"/>
        <v>Under Review</v>
      </c>
      <c r="K25" s="2" t="str">
        <f t="shared" si="1"/>
        <v>Keep Player</v>
      </c>
      <c r="L25" s="11">
        <f>YEAR(Table1[[#This Row],[Date of Joining]])</f>
        <v>2018</v>
      </c>
    </row>
    <row r="26" spans="1:12">
      <c r="A26" s="2">
        <v>1025</v>
      </c>
      <c r="B26" s="2" t="s">
        <v>64</v>
      </c>
      <c r="C26" s="2" t="s">
        <v>12</v>
      </c>
      <c r="D26" s="2" t="s">
        <v>37</v>
      </c>
      <c r="E26" s="3">
        <v>45002</v>
      </c>
      <c r="F26" s="2">
        <v>9000</v>
      </c>
      <c r="G26" s="2">
        <v>20</v>
      </c>
      <c r="H26" s="2" t="s">
        <v>21</v>
      </c>
      <c r="I26" s="2">
        <f>_xlfn.XLOOKUP(C26,'Sponsorship '!A$2:A$13,'Sponsorship '!B$2:B$13)</f>
        <v>9500</v>
      </c>
      <c r="J26" s="2" t="str">
        <f t="shared" si="0"/>
        <v>Star</v>
      </c>
      <c r="K26" s="2" t="str">
        <f t="shared" si="1"/>
        <v>Keep Player</v>
      </c>
      <c r="L26" s="11">
        <f>YEAR(Table1[[#This Row],[Date of Joining]])</f>
        <v>2023</v>
      </c>
    </row>
    <row r="27" spans="1:12">
      <c r="A27" s="2">
        <v>1026</v>
      </c>
      <c r="B27" s="2" t="s">
        <v>65</v>
      </c>
      <c r="C27" s="2" t="s">
        <v>9</v>
      </c>
      <c r="D27" s="2" t="s">
        <v>37</v>
      </c>
      <c r="E27" s="3">
        <v>44839</v>
      </c>
      <c r="F27" s="2">
        <v>7000</v>
      </c>
      <c r="G27" s="2">
        <v>40</v>
      </c>
      <c r="H27" s="2" t="s">
        <v>21</v>
      </c>
      <c r="I27" s="2">
        <f>_xlfn.XLOOKUP(C27,'Sponsorship '!A$2:A$13,'Sponsorship '!B$2:B$13)</f>
        <v>11000</v>
      </c>
      <c r="J27" s="2" t="str">
        <f t="shared" si="0"/>
        <v>Star</v>
      </c>
      <c r="K27" s="2" t="str">
        <f t="shared" si="1"/>
        <v>Keep Player</v>
      </c>
      <c r="L27" s="11">
        <f>YEAR(Table1[[#This Row],[Date of Joining]])</f>
        <v>2022</v>
      </c>
    </row>
    <row r="28" spans="1:12">
      <c r="A28" s="2">
        <v>1027</v>
      </c>
      <c r="B28" s="2" t="s">
        <v>66</v>
      </c>
      <c r="C28" s="2" t="s">
        <v>9</v>
      </c>
      <c r="D28" s="2" t="s">
        <v>37</v>
      </c>
      <c r="E28" s="3">
        <v>43830</v>
      </c>
      <c r="F28" s="2">
        <v>6500</v>
      </c>
      <c r="G28" s="2">
        <v>38</v>
      </c>
      <c r="H28" s="2" t="s">
        <v>22</v>
      </c>
      <c r="I28" s="2">
        <f>_xlfn.XLOOKUP(C28,'Sponsorship '!A$2:A$13,'Sponsorship '!B$2:B$13)</f>
        <v>11000</v>
      </c>
      <c r="J28" s="2" t="str">
        <f t="shared" si="0"/>
        <v>Under Review</v>
      </c>
      <c r="K28" s="2" t="str">
        <f t="shared" si="1"/>
        <v>Keep Player</v>
      </c>
      <c r="L28" s="11">
        <f>YEAR(Table1[[#This Row],[Date of Joining]])</f>
        <v>2019</v>
      </c>
    </row>
    <row r="29" spans="1:12">
      <c r="A29" s="2">
        <v>1028</v>
      </c>
      <c r="B29" s="2" t="s">
        <v>67</v>
      </c>
      <c r="C29" s="2" t="s">
        <v>9</v>
      </c>
      <c r="D29" s="2" t="s">
        <v>37</v>
      </c>
      <c r="E29" s="3">
        <v>44397</v>
      </c>
      <c r="F29" s="2">
        <v>6700</v>
      </c>
      <c r="G29" s="2">
        <v>36</v>
      </c>
      <c r="H29" s="2" t="s">
        <v>43</v>
      </c>
      <c r="I29" s="2">
        <f>_xlfn.XLOOKUP(C29,'Sponsorship '!A$2:A$13,'Sponsorship '!B$2:B$13)</f>
        <v>11000</v>
      </c>
      <c r="J29" s="2" t="str">
        <f t="shared" si="0"/>
        <v>Under Review</v>
      </c>
      <c r="K29" s="2" t="str">
        <f t="shared" si="1"/>
        <v>Keep Player</v>
      </c>
      <c r="L29" s="11">
        <f>YEAR(Table1[[#This Row],[Date of Joining]])</f>
        <v>2021</v>
      </c>
    </row>
    <row r="30" spans="1:12">
      <c r="A30" s="2">
        <v>1029</v>
      </c>
      <c r="B30" s="2" t="s">
        <v>68</v>
      </c>
      <c r="C30" s="2" t="s">
        <v>9</v>
      </c>
      <c r="D30" s="2" t="s">
        <v>42</v>
      </c>
      <c r="E30" s="3">
        <v>45027</v>
      </c>
      <c r="F30" s="2">
        <v>5000</v>
      </c>
      <c r="G30" s="2">
        <v>34</v>
      </c>
      <c r="H30" s="2" t="s">
        <v>22</v>
      </c>
      <c r="I30" s="2">
        <f>_xlfn.XLOOKUP(C30,'Sponsorship '!A$2:A$13,'Sponsorship '!B$2:B$13)</f>
        <v>11000</v>
      </c>
      <c r="J30" s="2" t="str">
        <f t="shared" si="0"/>
        <v>Under Review</v>
      </c>
      <c r="K30" s="2" t="str">
        <f t="shared" si="1"/>
        <v>Keep Player</v>
      </c>
      <c r="L30" s="11">
        <f>YEAR(Table1[[#This Row],[Date of Joining]])</f>
        <v>2023</v>
      </c>
    </row>
    <row r="31" spans="1:12">
      <c r="A31" s="2">
        <v>1030</v>
      </c>
      <c r="B31" s="2" t="s">
        <v>69</v>
      </c>
      <c r="C31" s="2" t="s">
        <v>9</v>
      </c>
      <c r="D31" s="2" t="s">
        <v>37</v>
      </c>
      <c r="E31" s="3">
        <v>43147</v>
      </c>
      <c r="F31" s="2">
        <v>8900</v>
      </c>
      <c r="G31" s="2">
        <v>32</v>
      </c>
      <c r="H31" s="2" t="s">
        <v>22</v>
      </c>
      <c r="I31" s="2">
        <f>_xlfn.XLOOKUP(C31,'Sponsorship '!A$2:A$13,'Sponsorship '!B$2:B$13)</f>
        <v>11000</v>
      </c>
      <c r="J31" s="2" t="str">
        <f t="shared" si="0"/>
        <v>Under Review</v>
      </c>
      <c r="K31" s="2" t="str">
        <f t="shared" si="1"/>
        <v>Keep Player</v>
      </c>
      <c r="L31" s="11">
        <f>YEAR(Table1[[#This Row],[Date of Joining]])</f>
        <v>2018</v>
      </c>
    </row>
    <row r="32" spans="1:12">
      <c r="A32" s="2">
        <v>1031</v>
      </c>
      <c r="B32" s="2" t="s">
        <v>70</v>
      </c>
      <c r="C32" s="2" t="s">
        <v>6</v>
      </c>
      <c r="D32" s="2" t="s">
        <v>37</v>
      </c>
      <c r="E32" s="3">
        <v>44072</v>
      </c>
      <c r="F32" s="2">
        <v>8000</v>
      </c>
      <c r="G32" s="2">
        <v>46</v>
      </c>
      <c r="H32" s="2" t="s">
        <v>21</v>
      </c>
      <c r="I32" s="2">
        <f>_xlfn.XLOOKUP(C32,'Sponsorship '!A$2:A$13,'Sponsorship '!B$2:B$13)</f>
        <v>9000</v>
      </c>
      <c r="J32" s="2" t="str">
        <f t="shared" si="0"/>
        <v>Star</v>
      </c>
      <c r="K32" s="2" t="str">
        <f t="shared" si="1"/>
        <v>Keep Player</v>
      </c>
      <c r="L32" s="11">
        <f>YEAR(Table1[[#This Row],[Date of Joining]])</f>
        <v>2020</v>
      </c>
    </row>
    <row r="33" spans="1:12">
      <c r="A33" s="2">
        <v>1032</v>
      </c>
      <c r="B33" s="2" t="s">
        <v>71</v>
      </c>
      <c r="C33" s="2" t="s">
        <v>6</v>
      </c>
      <c r="D33" s="2" t="s">
        <v>42</v>
      </c>
      <c r="E33" s="3">
        <v>44575</v>
      </c>
      <c r="F33" s="2">
        <v>6500</v>
      </c>
      <c r="G33" s="2">
        <v>44</v>
      </c>
      <c r="H33" s="2" t="s">
        <v>21</v>
      </c>
      <c r="I33" s="2">
        <f>_xlfn.XLOOKUP(C33,'Sponsorship '!A$2:A$13,'Sponsorship '!B$2:B$13)</f>
        <v>9000</v>
      </c>
      <c r="J33" s="2" t="str">
        <f t="shared" si="0"/>
        <v>Star</v>
      </c>
      <c r="K33" s="2" t="str">
        <f t="shared" si="1"/>
        <v>Keep Player</v>
      </c>
      <c r="L33" s="11">
        <f>YEAR(Table1[[#This Row],[Date of Joining]])</f>
        <v>2022</v>
      </c>
    </row>
    <row r="34" spans="1:12">
      <c r="A34" s="2">
        <v>1033</v>
      </c>
      <c r="B34" s="2" t="s">
        <v>72</v>
      </c>
      <c r="C34" s="2" t="s">
        <v>6</v>
      </c>
      <c r="D34" s="2" t="s">
        <v>42</v>
      </c>
      <c r="E34" s="3">
        <v>43592</v>
      </c>
      <c r="F34" s="2">
        <v>7000</v>
      </c>
      <c r="G34" s="2">
        <v>41</v>
      </c>
      <c r="H34" s="2" t="s">
        <v>22</v>
      </c>
      <c r="I34" s="2">
        <f>_xlfn.XLOOKUP(C34,'Sponsorship '!A$2:A$13,'Sponsorship '!B$2:B$13)</f>
        <v>9000</v>
      </c>
      <c r="J34" s="2" t="str">
        <f t="shared" ref="J34:J51" si="2">IF(AND(H34="Active", G34&gt;10), "Star", "Under Review")</f>
        <v>Under Review</v>
      </c>
      <c r="K34" s="2" t="str">
        <f t="shared" ref="K34:K51" si="3">IF(AND(H34="Injured", G34&lt;5), "Review Contract", "Keep Player")</f>
        <v>Keep Player</v>
      </c>
      <c r="L34" s="11">
        <f>YEAR(Table1[[#This Row],[Date of Joining]])</f>
        <v>2019</v>
      </c>
    </row>
    <row r="35" spans="1:12">
      <c r="A35" s="2">
        <v>1034</v>
      </c>
      <c r="B35" s="2" t="s">
        <v>73</v>
      </c>
      <c r="C35" s="2" t="s">
        <v>6</v>
      </c>
      <c r="D35" s="2" t="s">
        <v>51</v>
      </c>
      <c r="E35" s="3">
        <v>44523</v>
      </c>
      <c r="F35" s="2">
        <v>6200</v>
      </c>
      <c r="G35" s="2">
        <v>9</v>
      </c>
      <c r="H35" s="2" t="s">
        <v>22</v>
      </c>
      <c r="I35" s="2">
        <f>_xlfn.XLOOKUP(C35,'Sponsorship '!A$2:A$13,'Sponsorship '!B$2:B$13)</f>
        <v>9000</v>
      </c>
      <c r="J35" s="2" t="str">
        <f t="shared" si="2"/>
        <v>Under Review</v>
      </c>
      <c r="K35" s="2" t="str">
        <f t="shared" si="3"/>
        <v>Keep Player</v>
      </c>
      <c r="L35" s="11">
        <f>YEAR(Table1[[#This Row],[Date of Joining]])</f>
        <v>2021</v>
      </c>
    </row>
    <row r="36" spans="1:12">
      <c r="A36" s="2">
        <v>1035</v>
      </c>
      <c r="B36" s="2" t="s">
        <v>74</v>
      </c>
      <c r="C36" s="2" t="s">
        <v>6</v>
      </c>
      <c r="D36" s="2" t="s">
        <v>42</v>
      </c>
      <c r="E36" s="3">
        <v>45108</v>
      </c>
      <c r="F36" s="2">
        <v>6600</v>
      </c>
      <c r="G36" s="2">
        <v>16</v>
      </c>
      <c r="H36" s="2" t="s">
        <v>21</v>
      </c>
      <c r="I36" s="2">
        <f>_xlfn.XLOOKUP(C36,'Sponsorship '!A$2:A$13,'Sponsorship '!B$2:B$13)</f>
        <v>9000</v>
      </c>
      <c r="J36" s="2" t="str">
        <f t="shared" si="2"/>
        <v>Star</v>
      </c>
      <c r="K36" s="2" t="str">
        <f t="shared" si="3"/>
        <v>Keep Player</v>
      </c>
      <c r="L36" s="11">
        <f>YEAR(Table1[[#This Row],[Date of Joining]])</f>
        <v>2023</v>
      </c>
    </row>
    <row r="37" spans="1:12">
      <c r="A37" s="2">
        <v>1036</v>
      </c>
      <c r="B37" s="2" t="s">
        <v>75</v>
      </c>
      <c r="C37" s="2" t="s">
        <v>14</v>
      </c>
      <c r="D37" s="2" t="s">
        <v>37</v>
      </c>
      <c r="E37" s="3">
        <v>43208</v>
      </c>
      <c r="F37" s="2">
        <v>10000</v>
      </c>
      <c r="G37" s="2">
        <v>25</v>
      </c>
      <c r="H37" s="2" t="s">
        <v>21</v>
      </c>
      <c r="I37" s="2">
        <f>_xlfn.XLOOKUP(C37,'Sponsorship '!A$2:A$13,'Sponsorship '!B$2:B$13)</f>
        <v>10000</v>
      </c>
      <c r="J37" s="2" t="str">
        <f t="shared" si="2"/>
        <v>Star</v>
      </c>
      <c r="K37" s="2" t="str">
        <f t="shared" si="3"/>
        <v>Keep Player</v>
      </c>
      <c r="L37" s="11">
        <f>YEAR(Table1[[#This Row],[Date of Joining]])</f>
        <v>2018</v>
      </c>
    </row>
    <row r="38" spans="1:12">
      <c r="A38" s="2">
        <v>1037</v>
      </c>
      <c r="B38" s="2" t="s">
        <v>76</v>
      </c>
      <c r="C38" s="2" t="s">
        <v>14</v>
      </c>
      <c r="D38" s="2" t="s">
        <v>42</v>
      </c>
      <c r="E38" s="3">
        <v>45175</v>
      </c>
      <c r="F38" s="2">
        <v>8500</v>
      </c>
      <c r="G38" s="2">
        <v>12</v>
      </c>
      <c r="H38" s="2" t="s">
        <v>21</v>
      </c>
      <c r="I38" s="2">
        <f>_xlfn.XLOOKUP(C38,'Sponsorship '!A$2:A$13,'Sponsorship '!B$2:B$13)</f>
        <v>10000</v>
      </c>
      <c r="J38" s="2" t="str">
        <f t="shared" si="2"/>
        <v>Star</v>
      </c>
      <c r="K38" s="2" t="str">
        <f t="shared" si="3"/>
        <v>Keep Player</v>
      </c>
      <c r="L38" s="11">
        <f>YEAR(Table1[[#This Row],[Date of Joining]])</f>
        <v>2023</v>
      </c>
    </row>
    <row r="39" spans="1:12">
      <c r="A39" s="2">
        <v>1038</v>
      </c>
      <c r="B39" s="2" t="s">
        <v>77</v>
      </c>
      <c r="C39" s="2" t="s">
        <v>14</v>
      </c>
      <c r="D39" s="2" t="s">
        <v>42</v>
      </c>
      <c r="E39" s="3">
        <v>44739</v>
      </c>
      <c r="F39" s="2">
        <v>8500</v>
      </c>
      <c r="G39" s="2">
        <v>10</v>
      </c>
      <c r="H39" s="2" t="s">
        <v>22</v>
      </c>
      <c r="I39" s="2">
        <f>_xlfn.XLOOKUP(C39,'Sponsorship '!A$2:A$13,'Sponsorship '!B$2:B$13)</f>
        <v>10000</v>
      </c>
      <c r="J39" s="2" t="str">
        <f t="shared" si="2"/>
        <v>Under Review</v>
      </c>
      <c r="K39" s="2" t="str">
        <f t="shared" si="3"/>
        <v>Keep Player</v>
      </c>
      <c r="L39" s="11">
        <f>YEAR(Table1[[#This Row],[Date of Joining]])</f>
        <v>2022</v>
      </c>
    </row>
    <row r="40" spans="1:12">
      <c r="A40" s="2">
        <v>1039</v>
      </c>
      <c r="B40" s="2" t="s">
        <v>78</v>
      </c>
      <c r="C40" s="2" t="s">
        <v>14</v>
      </c>
      <c r="D40" s="2" t="s">
        <v>37</v>
      </c>
      <c r="E40" s="3">
        <v>43509</v>
      </c>
      <c r="F40" s="2">
        <v>8800</v>
      </c>
      <c r="G40" s="2">
        <v>4</v>
      </c>
      <c r="H40" s="2" t="s">
        <v>22</v>
      </c>
      <c r="I40" s="2">
        <f>_xlfn.XLOOKUP(C40,'Sponsorship '!A$2:A$13,'Sponsorship '!B$2:B$13)</f>
        <v>10000</v>
      </c>
      <c r="J40" s="2" t="str">
        <f t="shared" si="2"/>
        <v>Under Review</v>
      </c>
      <c r="K40" s="2" t="str">
        <f t="shared" si="3"/>
        <v>Review Contract</v>
      </c>
      <c r="L40" s="11">
        <f>YEAR(Table1[[#This Row],[Date of Joining]])</f>
        <v>2019</v>
      </c>
    </row>
    <row r="41" spans="1:12">
      <c r="A41" s="2">
        <v>1040</v>
      </c>
      <c r="B41" s="2" t="s">
        <v>79</v>
      </c>
      <c r="C41" s="2" t="s">
        <v>14</v>
      </c>
      <c r="D41" s="2" t="s">
        <v>51</v>
      </c>
      <c r="E41" s="3">
        <v>44477</v>
      </c>
      <c r="F41" s="2">
        <v>5000</v>
      </c>
      <c r="G41" s="2">
        <v>7</v>
      </c>
      <c r="H41" s="2" t="s">
        <v>21</v>
      </c>
      <c r="I41" s="2">
        <f>_xlfn.XLOOKUP(C41,'Sponsorship '!A$2:A$13,'Sponsorship '!B$2:B$13)</f>
        <v>10000</v>
      </c>
      <c r="J41" s="2" t="str">
        <f t="shared" si="2"/>
        <v>Under Review</v>
      </c>
      <c r="K41" s="2" t="str">
        <f t="shared" si="3"/>
        <v>Keep Player</v>
      </c>
      <c r="L41" s="11">
        <f>YEAR(Table1[[#This Row],[Date of Joining]])</f>
        <v>2021</v>
      </c>
    </row>
    <row r="42" spans="1:12">
      <c r="A42" s="2">
        <v>1041</v>
      </c>
      <c r="B42" s="2" t="s">
        <v>80</v>
      </c>
      <c r="C42" s="2" t="s">
        <v>17</v>
      </c>
      <c r="D42" s="2" t="s">
        <v>37</v>
      </c>
      <c r="E42" s="3">
        <v>45068</v>
      </c>
      <c r="F42" s="2">
        <v>14000</v>
      </c>
      <c r="G42" s="2">
        <v>30</v>
      </c>
      <c r="H42" s="2" t="s">
        <v>22</v>
      </c>
      <c r="I42" s="2">
        <f>_xlfn.XLOOKUP(C42,'Sponsorship '!A$2:A$13,'Sponsorship '!B$2:B$13)</f>
        <v>6500</v>
      </c>
      <c r="J42" s="2" t="str">
        <f t="shared" si="2"/>
        <v>Under Review</v>
      </c>
      <c r="K42" s="2" t="str">
        <f t="shared" si="3"/>
        <v>Keep Player</v>
      </c>
      <c r="L42" s="11">
        <f>YEAR(Table1[[#This Row],[Date of Joining]])</f>
        <v>2023</v>
      </c>
    </row>
    <row r="43" spans="1:12">
      <c r="A43" s="2">
        <v>1042</v>
      </c>
      <c r="B43" s="2" t="s">
        <v>81</v>
      </c>
      <c r="C43" s="2" t="s">
        <v>17</v>
      </c>
      <c r="D43" s="2" t="s">
        <v>42</v>
      </c>
      <c r="E43" s="3">
        <v>43443</v>
      </c>
      <c r="F43" s="2">
        <v>11000</v>
      </c>
      <c r="G43" s="2">
        <v>32</v>
      </c>
      <c r="H43" s="2" t="s">
        <v>21</v>
      </c>
      <c r="I43" s="2">
        <f>_xlfn.XLOOKUP(C43,'Sponsorship '!A$2:A$13,'Sponsorship '!B$2:B$13)</f>
        <v>6500</v>
      </c>
      <c r="J43" s="2" t="str">
        <f t="shared" si="2"/>
        <v>Star</v>
      </c>
      <c r="K43" s="2" t="str">
        <f t="shared" si="3"/>
        <v>Keep Player</v>
      </c>
      <c r="L43" s="11">
        <f>YEAR(Table1[[#This Row],[Date of Joining]])</f>
        <v>2018</v>
      </c>
    </row>
    <row r="44" spans="1:12">
      <c r="A44" s="2">
        <v>1043</v>
      </c>
      <c r="B44" s="2" t="s">
        <v>82</v>
      </c>
      <c r="C44" s="2" t="s">
        <v>17</v>
      </c>
      <c r="D44" s="2" t="s">
        <v>42</v>
      </c>
      <c r="E44" s="3">
        <v>45040</v>
      </c>
      <c r="F44" s="2">
        <v>10000</v>
      </c>
      <c r="G44" s="2">
        <v>33</v>
      </c>
      <c r="H44" s="2" t="s">
        <v>43</v>
      </c>
      <c r="I44" s="2">
        <f>_xlfn.XLOOKUP(C44,'Sponsorship '!A$2:A$13,'Sponsorship '!B$2:B$13)</f>
        <v>6500</v>
      </c>
      <c r="J44" s="2" t="str">
        <f t="shared" si="2"/>
        <v>Under Review</v>
      </c>
      <c r="K44" s="2" t="str">
        <f t="shared" si="3"/>
        <v>Keep Player</v>
      </c>
      <c r="L44" s="11">
        <f>YEAR(Table1[[#This Row],[Date of Joining]])</f>
        <v>2023</v>
      </c>
    </row>
    <row r="45" spans="1:12">
      <c r="A45" s="2">
        <v>1044</v>
      </c>
      <c r="B45" s="2" t="s">
        <v>83</v>
      </c>
      <c r="C45" s="2" t="s">
        <v>17</v>
      </c>
      <c r="D45" s="2" t="s">
        <v>51</v>
      </c>
      <c r="E45" s="3">
        <v>44820</v>
      </c>
      <c r="F45" s="2">
        <v>7900</v>
      </c>
      <c r="G45" s="2">
        <v>9</v>
      </c>
      <c r="H45" s="2" t="s">
        <v>22</v>
      </c>
      <c r="I45" s="2">
        <f>_xlfn.XLOOKUP(C45,'Sponsorship '!A$2:A$13,'Sponsorship '!B$2:B$13)</f>
        <v>6500</v>
      </c>
      <c r="J45" s="2" t="str">
        <f t="shared" si="2"/>
        <v>Under Review</v>
      </c>
      <c r="K45" s="2" t="str">
        <f t="shared" si="3"/>
        <v>Keep Player</v>
      </c>
      <c r="L45" s="11">
        <f>YEAR(Table1[[#This Row],[Date of Joining]])</f>
        <v>2022</v>
      </c>
    </row>
    <row r="46" spans="1:12">
      <c r="A46" s="2">
        <v>1045</v>
      </c>
      <c r="B46" s="2" t="s">
        <v>84</v>
      </c>
      <c r="C46" s="2" t="s">
        <v>17</v>
      </c>
      <c r="D46" s="2" t="s">
        <v>42</v>
      </c>
      <c r="E46" s="3">
        <v>43646</v>
      </c>
      <c r="F46" s="2">
        <v>8000</v>
      </c>
      <c r="G46" s="2">
        <v>37</v>
      </c>
      <c r="H46" s="2" t="s">
        <v>21</v>
      </c>
      <c r="I46" s="2">
        <f>_xlfn.XLOOKUP(C46,'Sponsorship '!A$2:A$13,'Sponsorship '!B$2:B$13)</f>
        <v>6500</v>
      </c>
      <c r="J46" s="2" t="str">
        <f t="shared" si="2"/>
        <v>Star</v>
      </c>
      <c r="K46" s="2" t="str">
        <f t="shared" si="3"/>
        <v>Keep Player</v>
      </c>
      <c r="L46" s="11">
        <f>YEAR(Table1[[#This Row],[Date of Joining]])</f>
        <v>2019</v>
      </c>
    </row>
    <row r="47" spans="1:12">
      <c r="A47" s="2">
        <v>1046</v>
      </c>
      <c r="B47" s="2" t="s">
        <v>85</v>
      </c>
      <c r="C47" s="2" t="s">
        <v>7</v>
      </c>
      <c r="D47" s="2" t="s">
        <v>37</v>
      </c>
      <c r="E47" s="3">
        <v>44201</v>
      </c>
      <c r="F47" s="2">
        <v>8000</v>
      </c>
      <c r="G47" s="2">
        <v>13</v>
      </c>
      <c r="H47" s="2" t="s">
        <v>21</v>
      </c>
      <c r="I47" s="2">
        <f>_xlfn.XLOOKUP(C47,'Sponsorship '!A$2:A$13,'Sponsorship '!B$2:B$13)</f>
        <v>4500</v>
      </c>
      <c r="J47" s="2" t="str">
        <f t="shared" si="2"/>
        <v>Star</v>
      </c>
      <c r="K47" s="2" t="str">
        <f t="shared" si="3"/>
        <v>Keep Player</v>
      </c>
      <c r="L47" s="11">
        <f>YEAR(Table1[[#This Row],[Date of Joining]])</f>
        <v>2021</v>
      </c>
    </row>
    <row r="48" spans="1:12">
      <c r="A48" s="2">
        <v>1047</v>
      </c>
      <c r="B48" s="2" t="s">
        <v>86</v>
      </c>
      <c r="C48" s="2" t="s">
        <v>7</v>
      </c>
      <c r="D48" s="2" t="s">
        <v>37</v>
      </c>
      <c r="E48" s="3">
        <v>45151</v>
      </c>
      <c r="F48" s="2">
        <v>7500</v>
      </c>
      <c r="G48" s="2">
        <v>15</v>
      </c>
      <c r="H48" s="2" t="s">
        <v>22</v>
      </c>
      <c r="I48" s="2">
        <f>_xlfn.XLOOKUP(C48,'Sponsorship '!A$2:A$13,'Sponsorship '!B$2:B$13)</f>
        <v>4500</v>
      </c>
      <c r="J48" s="2" t="str">
        <f t="shared" si="2"/>
        <v>Under Review</v>
      </c>
      <c r="K48" s="2" t="str">
        <f t="shared" si="3"/>
        <v>Keep Player</v>
      </c>
      <c r="L48" s="11">
        <f>YEAR(Table1[[#This Row],[Date of Joining]])</f>
        <v>2023</v>
      </c>
    </row>
    <row r="49" spans="1:12">
      <c r="A49" s="2">
        <v>1048</v>
      </c>
      <c r="B49" s="2" t="s">
        <v>87</v>
      </c>
      <c r="C49" s="2" t="s">
        <v>7</v>
      </c>
      <c r="D49" s="2" t="s">
        <v>42</v>
      </c>
      <c r="E49" s="3">
        <v>43186</v>
      </c>
      <c r="F49" s="2">
        <v>7000</v>
      </c>
      <c r="G49" s="2">
        <v>8</v>
      </c>
      <c r="H49" s="2" t="s">
        <v>43</v>
      </c>
      <c r="I49" s="2">
        <f>_xlfn.XLOOKUP(C49,'Sponsorship '!A$2:A$13,'Sponsorship '!B$2:B$13)</f>
        <v>4500</v>
      </c>
      <c r="J49" s="2" t="str">
        <f t="shared" si="2"/>
        <v>Under Review</v>
      </c>
      <c r="K49" s="2" t="str">
        <f t="shared" si="3"/>
        <v>Keep Player</v>
      </c>
      <c r="L49" s="11">
        <f>YEAR(Table1[[#This Row],[Date of Joining]])</f>
        <v>2018</v>
      </c>
    </row>
    <row r="50" spans="1:12">
      <c r="A50" s="2">
        <v>1049</v>
      </c>
      <c r="B50" s="2" t="s">
        <v>88</v>
      </c>
      <c r="C50" s="2" t="s">
        <v>11</v>
      </c>
      <c r="D50" s="2" t="s">
        <v>37</v>
      </c>
      <c r="E50" s="3">
        <v>44027</v>
      </c>
      <c r="F50" s="2">
        <v>9000</v>
      </c>
      <c r="G50" s="2">
        <v>25</v>
      </c>
      <c r="H50" s="2" t="s">
        <v>21</v>
      </c>
      <c r="I50" s="2">
        <f>_xlfn.XLOOKUP(C50,'Sponsorship '!A$2:A$13,'Sponsorship '!B$2:B$13)</f>
        <v>3500</v>
      </c>
      <c r="J50" s="2" t="str">
        <f t="shared" si="2"/>
        <v>Star</v>
      </c>
      <c r="K50" s="2" t="str">
        <f t="shared" si="3"/>
        <v>Keep Player</v>
      </c>
      <c r="L50" s="11">
        <f>YEAR(Table1[[#This Row],[Date of Joining]])</f>
        <v>2020</v>
      </c>
    </row>
    <row r="51" spans="1:12">
      <c r="A51" s="2">
        <v>1050</v>
      </c>
      <c r="B51" s="2" t="s">
        <v>89</v>
      </c>
      <c r="C51" s="2" t="s">
        <v>14</v>
      </c>
      <c r="D51" s="2" t="s">
        <v>51</v>
      </c>
      <c r="E51" s="3">
        <v>44612</v>
      </c>
      <c r="F51" s="2">
        <v>5500</v>
      </c>
      <c r="G51" s="2">
        <v>4</v>
      </c>
      <c r="H51" s="2" t="s">
        <v>22</v>
      </c>
      <c r="I51" s="5">
        <f>_xlfn.XLOOKUP(C51,'Sponsorship '!A$2:A$13,'Sponsorship '!B$2:B$13)</f>
        <v>10000</v>
      </c>
      <c r="J51" s="5" t="str">
        <f t="shared" si="2"/>
        <v>Under Review</v>
      </c>
      <c r="K51" s="5" t="str">
        <f t="shared" si="3"/>
        <v>Review Contract</v>
      </c>
      <c r="L51" s="13">
        <f>YEAR(Table1[[#This Row],[Date of Joining]])</f>
        <v>2022</v>
      </c>
    </row>
  </sheetData>
  <conditionalFormatting sqref="H2:H51">
    <cfRule type="containsText" dxfId="16" priority="5" operator="containsText" text="Injured">
      <formula>NOT(ISERROR(SEARCH("Injured",H2)))</formula>
    </cfRule>
  </conditionalFormatting>
  <conditionalFormatting sqref="J2">
    <cfRule type="containsText" dxfId="15" priority="3" operator="containsText" text="Star$J$2:$J$51">
      <formula>NOT(ISERROR(SEARCH("Star$J$2:$J$51",J2)))</formula>
    </cfRule>
  </conditionalFormatting>
  <conditionalFormatting sqref="J2:J51">
    <cfRule type="containsText" dxfId="14" priority="2" operator="containsText" text="Star">
      <formula>NOT(ISERROR(SEARCH("Star",J2)))</formula>
    </cfRule>
  </conditionalFormatting>
  <conditionalFormatting sqref="F2:F51">
    <cfRule type="cellIs" dxfId="13" priority="1" operator="greaterThan">
      <formula>8000</formula>
    </cfRule>
  </conditionalFormatting>
  <dataValidations count="6">
    <dataValidation type="list" allowBlank="1" showInputMessage="1" showErrorMessage="1" sqref="C1 C52:C1048576" xr:uid="{19B5A177-243B-4245-9F69-CA52714E0F83}">
      <formula1>"Football,Basketball,Handball,Swimming,V$U$1olleyball,Squash,Table Tennis,Karate,Taekwondo,Fencing,Powerlifting"</formula1>
    </dataValidation>
    <dataValidation type="list" allowBlank="1" showInputMessage="1" showErrorMessage="1" sqref="C2:C51" xr:uid="{02E8415B-7158-46FE-880F-43C44B7EB22C}">
      <formula1>"Football,Basketball,Handball,Swimming,Volleyball,Squash,Table Tennis,Karate,Taekwondo,Fencing,Powerlifting"</formula1>
    </dataValidation>
    <dataValidation type="list" allowBlank="1" showInputMessage="1" showErrorMessage="1" sqref="D1:D1048576" xr:uid="{70A11EBA-0BD0-4890-9608-BAF7E2BDEEEE}">
      <formula1>"A,B,C"</formula1>
    </dataValidation>
    <dataValidation type="list" allowBlank="1" showInputMessage="1" showErrorMessage="1" sqref="H1:H1048576" xr:uid="{67E2042E-4F6C-4087-9D82-C3CDE6CA37A0}">
      <formula1>"Active,Injured,Retired"</formula1>
    </dataValidation>
    <dataValidation type="whole" operator="greaterThan" allowBlank="1" showInputMessage="1" showErrorMessage="1" sqref="F1:F1048576" xr:uid="{2986851D-A263-4F55-8CC2-74B1D8045627}">
      <formula1>1</formula1>
    </dataValidation>
    <dataValidation type="date" operator="lessThanOrEqual" allowBlank="1" showInputMessage="1" showErrorMessage="1" sqref="E1:E1048576" xr:uid="{E30D81EC-7514-4026-9B65-D159F9A16578}">
      <formula1>TODAY()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2026-03-29T23:48:53Z</dcterms:created>
  <dcterms:modified xsi:type="dcterms:W3CDTF">2026-03-30T06:13:17Z</dcterms:modified>
  <cp:category/>
  <cp:contentStatus/>
</cp:coreProperties>
</file>