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hidePivotFieldList="1" defaultThemeVersion="166925"/>
  <xr:revisionPtr revIDLastSave="0" documentId="8_{E10B1B46-AA58-461B-897D-FB14D64AE0A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 1" sheetId="4" r:id="rId1"/>
    <sheet name="Sheet 2" sheetId="5" r:id="rId2"/>
    <sheet name="data" sheetId="1" r:id="rId3"/>
    <sheet name="bonus " sheetId="2" r:id="rId4"/>
  </sheets>
  <definedNames>
    <definedName name="_xlnm._FilterDatabase" localSheetId="2" hidden="1">data!$D$1:$D$51</definedName>
  </definedNames>
  <calcPr calcId="191028" refMode="R1C1" iterateCount="0" calcOnSave="0" concurrentCalc="0"/>
  <pivotCaches>
    <pivotCache cacheId="164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K47" i="1"/>
  <c r="K44" i="1"/>
  <c r="K43" i="1"/>
  <c r="K42" i="1"/>
  <c r="K41" i="1"/>
  <c r="K40" i="1"/>
  <c r="K36" i="1"/>
  <c r="K34" i="1"/>
  <c r="K32" i="1"/>
  <c r="K29" i="1"/>
  <c r="K27" i="1"/>
  <c r="K25" i="1"/>
  <c r="K23" i="1"/>
  <c r="K21" i="1"/>
  <c r="K20" i="1"/>
  <c r="K18" i="1"/>
  <c r="K15" i="1"/>
  <c r="K14" i="1"/>
  <c r="K12" i="1"/>
  <c r="K10" i="1"/>
  <c r="K8" i="1"/>
  <c r="K5" i="1"/>
  <c r="K4" i="1"/>
  <c r="K3" i="1"/>
  <c r="I48" i="1"/>
  <c r="J48" i="1" s="1"/>
  <c r="I47" i="1"/>
  <c r="J47" i="1" s="1"/>
  <c r="I44" i="1"/>
  <c r="J44" i="1" s="1"/>
  <c r="I43" i="1"/>
  <c r="J43" i="1" s="1"/>
  <c r="I42" i="1"/>
  <c r="J42" i="1" s="1"/>
  <c r="I41" i="1"/>
  <c r="J41" i="1" s="1"/>
  <c r="I40" i="1"/>
  <c r="J40" i="1" s="1"/>
  <c r="I36" i="1"/>
  <c r="J36" i="1" s="1"/>
  <c r="I34" i="1"/>
  <c r="J34" i="1" s="1"/>
  <c r="I32" i="1"/>
  <c r="J32" i="1" s="1"/>
  <c r="I29" i="1"/>
  <c r="J29" i="1" s="1"/>
  <c r="I27" i="1"/>
  <c r="J27" i="1" s="1"/>
  <c r="I25" i="1"/>
  <c r="J25" i="1" s="1"/>
  <c r="I23" i="1"/>
  <c r="J23" i="1" s="1"/>
  <c r="I21" i="1"/>
  <c r="J21" i="1" s="1"/>
  <c r="I20" i="1"/>
  <c r="J20" i="1" s="1"/>
  <c r="I18" i="1"/>
  <c r="J18" i="1" s="1"/>
  <c r="I15" i="1"/>
  <c r="J15" i="1" s="1"/>
  <c r="I14" i="1"/>
  <c r="J14" i="1" s="1"/>
  <c r="I12" i="1"/>
  <c r="J12" i="1" s="1"/>
  <c r="I10" i="1"/>
  <c r="J10" i="1" s="1"/>
  <c r="I8" i="1"/>
  <c r="J8" i="1" s="1"/>
  <c r="I5" i="1"/>
  <c r="J5" i="1" s="1"/>
  <c r="I4" i="1"/>
  <c r="J4" i="1" s="1"/>
  <c r="I3" i="1"/>
  <c r="J3" i="1" s="1"/>
</calcChain>
</file>

<file path=xl/sharedStrings.xml><?xml version="1.0" encoding="utf-8"?>
<sst xmlns="http://schemas.openxmlformats.org/spreadsheetml/2006/main" count="328" uniqueCount="79">
  <si>
    <t>Sum of Revenue</t>
  </si>
  <si>
    <t>Salesperson</t>
  </si>
  <si>
    <t>Store Location</t>
  </si>
  <si>
    <t>Ahmed</t>
  </si>
  <si>
    <t>Khaled</t>
  </si>
  <si>
    <t>Mona</t>
  </si>
  <si>
    <t>Omar</t>
  </si>
  <si>
    <t>Sara</t>
  </si>
  <si>
    <t>Grand Total</t>
  </si>
  <si>
    <t>Dokki</t>
  </si>
  <si>
    <t>Heliopolis</t>
  </si>
  <si>
    <t>Maadi</t>
  </si>
  <si>
    <t>Zamalek</t>
  </si>
  <si>
    <t xml:space="preserve">Date </t>
  </si>
  <si>
    <t xml:space="preserve">Sum of Quantity </t>
  </si>
  <si>
    <t>02/06/2025</t>
  </si>
  <si>
    <t>02/12/2025</t>
  </si>
  <si>
    <t>03/03/2026</t>
  </si>
  <si>
    <t>04/01/2026</t>
  </si>
  <si>
    <t>04/07/2025</t>
  </si>
  <si>
    <t>05/08/2025</t>
  </si>
  <si>
    <t>06/01/2026</t>
  </si>
  <si>
    <t>06/04/2025</t>
  </si>
  <si>
    <t>07/04/2025</t>
  </si>
  <si>
    <t>07/08/2025</t>
  </si>
  <si>
    <t>07/09/2025</t>
  </si>
  <si>
    <t>08/01/2026</t>
  </si>
  <si>
    <t>08/02/2026</t>
  </si>
  <si>
    <t>08/10/2025</t>
  </si>
  <si>
    <t>09/12/2025</t>
  </si>
  <si>
    <t>11/04/2025</t>
  </si>
  <si>
    <t>14/05/2025</t>
  </si>
  <si>
    <t>16/08/2025</t>
  </si>
  <si>
    <t>16/12/2025</t>
  </si>
  <si>
    <t>17/05/2025</t>
  </si>
  <si>
    <t>17/12/2025</t>
  </si>
  <si>
    <t>19/07/2025</t>
  </si>
  <si>
    <t>19/09/2025</t>
  </si>
  <si>
    <t>20/11/2025</t>
  </si>
  <si>
    <t>20/12/2025</t>
  </si>
  <si>
    <t>21/06/2025</t>
  </si>
  <si>
    <t>21/09/2025</t>
  </si>
  <si>
    <t>21/10/2025</t>
  </si>
  <si>
    <t>21/11/2025</t>
  </si>
  <si>
    <t>22/04/2025</t>
  </si>
  <si>
    <t>22/09/2025</t>
  </si>
  <si>
    <t>23/03/2025</t>
  </si>
  <si>
    <t>23/09/2025</t>
  </si>
  <si>
    <t>23/10/2025</t>
  </si>
  <si>
    <t>24/03/2025</t>
  </si>
  <si>
    <t>24/08/2025</t>
  </si>
  <si>
    <t>25/02/2026</t>
  </si>
  <si>
    <t>26/03/2025</t>
  </si>
  <si>
    <t>26/10/2025</t>
  </si>
  <si>
    <t>26/12/2025</t>
  </si>
  <si>
    <t>27/07/2025</t>
  </si>
  <si>
    <t>28/06/2025</t>
  </si>
  <si>
    <t>29/04/2025</t>
  </si>
  <si>
    <t>31/01/2026</t>
  </si>
  <si>
    <t xml:space="preserve">Drink </t>
  </si>
  <si>
    <t>Category</t>
  </si>
  <si>
    <t xml:space="preserve">Quantity </t>
  </si>
  <si>
    <t>Cost per Unit</t>
  </si>
  <si>
    <t xml:space="preserve">Price </t>
  </si>
  <si>
    <t>Revenue</t>
  </si>
  <si>
    <t>Sales Level</t>
  </si>
  <si>
    <t>Bonus Rate</t>
  </si>
  <si>
    <t>Cappuccino</t>
  </si>
  <si>
    <t>Cold Coffee</t>
  </si>
  <si>
    <t>Mocha</t>
  </si>
  <si>
    <t>Hot Coffee</t>
  </si>
  <si>
    <t>Espresso</t>
  </si>
  <si>
    <t>Caramel Macchiato</t>
  </si>
  <si>
    <t>Special Drinks</t>
  </si>
  <si>
    <t>Latte</t>
  </si>
  <si>
    <t>Iced Coffee</t>
  </si>
  <si>
    <t>Spanish Latte</t>
  </si>
  <si>
    <t>25/09/2025</t>
  </si>
  <si>
    <t>11/01/2026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</si>
</sst>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rial"/>
      <family val="1"/>
    </font>
    <font>
      <b/>
      <sz val="11"/>
      <name val="Arial"/>
      <family val="1"/>
    </font>
    <font>
      <b/>
      <sz val="13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readingOrder="1"/>
    </xf>
    <xf numFmtId="9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873322800922" createdVersion="8" refreshedVersion="8" minRefreshableVersion="3" recordCount="47" xr:uid="{EA4F4E4A-F715-4982-97B1-999B85E3D398}">
  <cacheSource type="worksheet">
    <worksheetSource ref="A1:K48" sheet="data"/>
  </cacheSource>
  <cacheFields count="11">
    <cacheField name="Date " numFmtId="0">
      <sharedItems count="44">
        <s v="08/02/2026"/>
        <s v="16/12/2025"/>
        <s v="04/07/2025"/>
        <s v="07/09/2025"/>
        <s v="26/10/2025"/>
        <s v="09/12/2025"/>
        <s v="25/02/2026"/>
        <s v="22/04/2025"/>
        <s v="07/04/2025"/>
        <s v="26/03/2025"/>
        <s v="04/01/2026"/>
        <s v="06/01/2026"/>
        <s v="21/09/2025"/>
        <s v="21/11/2025"/>
        <s v="05/08/2025"/>
        <s v="29/04/2025"/>
        <s v="02/12/2025"/>
        <s v="21/06/2025"/>
        <s v="24/03/2025"/>
        <s v="07/08/2025"/>
        <s v="31/01/2026"/>
        <s v="24/08/2025"/>
        <s v="20/12/2025"/>
        <s v="20/11/2025"/>
        <s v="03/03/2026"/>
        <s v="22/09/2025"/>
        <s v="17/05/2025"/>
        <s v="08/01/2026"/>
        <s v="27/07/2025"/>
        <s v="02/06/2025"/>
        <s v="23/10/2025"/>
        <s v="17/12/2025"/>
        <s v="26/12/2025"/>
        <s v="08/10/2025"/>
        <s v="16/08/2025"/>
        <s v="19/07/2025"/>
        <s v="14/05/2025"/>
        <s v="21/10/2025"/>
        <s v="23/09/2025"/>
        <s v="06/04/2025"/>
        <s v="23/03/2025"/>
        <s v="28/06/2025"/>
        <s v="11/04/2025"/>
        <s v="19/09/2025"/>
      </sharedItems>
    </cacheField>
    <cacheField name="Drink " numFmtId="0">
      <sharedItems/>
    </cacheField>
    <cacheField name="Category" numFmtId="0">
      <sharedItems/>
    </cacheField>
    <cacheField name="Quantity " numFmtId="0">
      <sharedItems containsSemiMixedTypes="0" containsString="0" containsNumber="1" containsInteger="1" minValue="1" maxValue="10"/>
    </cacheField>
    <cacheField name="Cost per Unit" numFmtId="0">
      <sharedItems containsSemiMixedTypes="0" containsString="0" containsNumber="1" containsInteger="1" minValue="21" maxValue="50"/>
    </cacheField>
    <cacheField name="Price " numFmtId="0">
      <sharedItems containsSemiMixedTypes="0" containsString="0" containsNumber="1" containsInteger="1" minValue="60" maxValue="120"/>
    </cacheField>
    <cacheField name="Salesperson" numFmtId="0">
      <sharedItems count="5">
        <s v="Omar"/>
        <s v="Sara"/>
        <s v="Khaled"/>
        <s v="Mona"/>
        <s v="Ahmed"/>
      </sharedItems>
    </cacheField>
    <cacheField name="Store Location" numFmtId="0">
      <sharedItems count="4">
        <s v="Dokki"/>
        <s v="Heliopolis"/>
        <s v="Maadi"/>
        <s v="Zamalek"/>
      </sharedItems>
    </cacheField>
    <cacheField name="Revenue" numFmtId="0">
      <sharedItems containsString="0" containsBlank="1" containsNumber="1" containsInteger="1" minValue="455" maxValue="1050"/>
    </cacheField>
    <cacheField name="Sales Level" numFmtId="0">
      <sharedItems containsBlank="1"/>
    </cacheField>
    <cacheField name="Bonus Rate" numFmtId="0">
      <sharedItems containsBlank="1" containsMixedTypes="1" containsNumber="1" minValue="0.04" maxValue="0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Cappuccino"/>
    <s v="Cold Coffee"/>
    <n v="4"/>
    <n v="27"/>
    <n v="120"/>
    <x v="0"/>
    <x v="0"/>
    <m/>
    <m/>
    <m/>
  </r>
  <r>
    <x v="1"/>
    <s v="Mocha"/>
    <s v="Cold Coffee"/>
    <n v="8"/>
    <n v="21"/>
    <n v="116"/>
    <x v="0"/>
    <x v="0"/>
    <n v="928"/>
    <s v="High"/>
    <s v="NOT FOUND"/>
  </r>
  <r>
    <x v="2"/>
    <s v="Cappuccino"/>
    <s v="Cold Coffee"/>
    <n v="9"/>
    <n v="49"/>
    <n v="114"/>
    <x v="1"/>
    <x v="0"/>
    <n v="1026"/>
    <s v="High"/>
    <n v="0.04"/>
  </r>
  <r>
    <x v="3"/>
    <s v="Cappuccino"/>
    <s v="Hot Coffee"/>
    <n v="6"/>
    <n v="50"/>
    <n v="113"/>
    <x v="1"/>
    <x v="0"/>
    <n v="678"/>
    <s v="High"/>
    <n v="0.04"/>
  </r>
  <r>
    <x v="4"/>
    <s v="Espresso"/>
    <s v="Cold Coffee"/>
    <n v="1"/>
    <n v="33"/>
    <n v="110"/>
    <x v="2"/>
    <x v="0"/>
    <m/>
    <m/>
    <m/>
  </r>
  <r>
    <x v="5"/>
    <s v="Caramel Macchiato"/>
    <s v="Special Drinks"/>
    <n v="5"/>
    <n v="43"/>
    <n v="101"/>
    <x v="3"/>
    <x v="0"/>
    <m/>
    <m/>
    <m/>
  </r>
  <r>
    <x v="6"/>
    <s v="Espresso"/>
    <s v="Cold Coffee"/>
    <n v="6"/>
    <n v="40"/>
    <n v="98"/>
    <x v="1"/>
    <x v="0"/>
    <n v="588"/>
    <s v="Normal"/>
    <n v="0.04"/>
  </r>
  <r>
    <x v="7"/>
    <s v="Cappuccino"/>
    <s v="Hot Coffee"/>
    <n v="4"/>
    <n v="34"/>
    <n v="96"/>
    <x v="3"/>
    <x v="0"/>
    <m/>
    <m/>
    <m/>
  </r>
  <r>
    <x v="8"/>
    <s v="Cappuccino"/>
    <s v="Special Drinks"/>
    <n v="10"/>
    <n v="26"/>
    <n v="93"/>
    <x v="4"/>
    <x v="0"/>
    <n v="930"/>
    <s v="High"/>
    <n v="0.05"/>
  </r>
  <r>
    <x v="9"/>
    <s v="Latte"/>
    <s v="Cold Coffee"/>
    <n v="4"/>
    <n v="31"/>
    <n v="69"/>
    <x v="1"/>
    <x v="0"/>
    <m/>
    <m/>
    <m/>
  </r>
  <r>
    <x v="10"/>
    <s v="Latte"/>
    <s v="Cold Coffee"/>
    <n v="9"/>
    <n v="28"/>
    <n v="66"/>
    <x v="0"/>
    <x v="0"/>
    <n v="594"/>
    <s v="Normal"/>
    <s v="NOT FOUND"/>
  </r>
  <r>
    <x v="11"/>
    <s v="Espresso"/>
    <s v="Cold Coffee"/>
    <n v="5"/>
    <n v="50"/>
    <n v="66"/>
    <x v="3"/>
    <x v="0"/>
    <m/>
    <m/>
    <m/>
  </r>
  <r>
    <x v="12"/>
    <s v="Mocha"/>
    <s v="Cold Coffee"/>
    <n v="6"/>
    <n v="42"/>
    <n v="118"/>
    <x v="1"/>
    <x v="1"/>
    <n v="708"/>
    <s v="High"/>
    <n v="0.04"/>
  </r>
  <r>
    <x v="13"/>
    <s v="Latte"/>
    <s v="Hot Coffee"/>
    <n v="6"/>
    <n v="37"/>
    <n v="113"/>
    <x v="0"/>
    <x v="1"/>
    <n v="678"/>
    <s v="High"/>
    <s v="NOT FOUND"/>
  </r>
  <r>
    <x v="14"/>
    <s v="Espresso"/>
    <s v="Hot Coffee"/>
    <n v="5"/>
    <n v="23"/>
    <n v="109"/>
    <x v="2"/>
    <x v="1"/>
    <m/>
    <m/>
    <m/>
  </r>
  <r>
    <x v="15"/>
    <s v="Mocha"/>
    <s v="Hot Coffee"/>
    <n v="1"/>
    <n v="42"/>
    <n v="109"/>
    <x v="1"/>
    <x v="1"/>
    <m/>
    <m/>
    <m/>
  </r>
  <r>
    <x v="16"/>
    <s v="Cappuccino"/>
    <s v="Hot Coffee"/>
    <n v="10"/>
    <n v="30"/>
    <n v="105"/>
    <x v="2"/>
    <x v="1"/>
    <n v="1050"/>
    <s v="High"/>
    <n v="0.05"/>
  </r>
  <r>
    <x v="17"/>
    <s v="Latte"/>
    <s v="Hot Coffee"/>
    <n v="1"/>
    <n v="41"/>
    <n v="103"/>
    <x v="2"/>
    <x v="1"/>
    <m/>
    <m/>
    <m/>
  </r>
  <r>
    <x v="9"/>
    <s v="Mocha"/>
    <s v="Cold Coffee"/>
    <n v="6"/>
    <n v="31"/>
    <n v="96"/>
    <x v="3"/>
    <x v="1"/>
    <n v="576"/>
    <s v="Normal"/>
    <n v="0.06"/>
  </r>
  <r>
    <x v="18"/>
    <s v="Iced Coffee"/>
    <s v="Cold Coffee"/>
    <n v="7"/>
    <n v="49"/>
    <n v="88"/>
    <x v="2"/>
    <x v="1"/>
    <n v="616"/>
    <s v="High"/>
    <n v="0.05"/>
  </r>
  <r>
    <x v="19"/>
    <s v="Caramel Macchiato"/>
    <s v="Special Drinks"/>
    <n v="5"/>
    <n v="43"/>
    <n v="78"/>
    <x v="3"/>
    <x v="1"/>
    <m/>
    <m/>
    <m/>
  </r>
  <r>
    <x v="20"/>
    <s v="Spanish Latte"/>
    <s v="Special Drinks"/>
    <n v="8"/>
    <n v="40"/>
    <n v="70"/>
    <x v="4"/>
    <x v="1"/>
    <n v="560"/>
    <s v="Normal"/>
    <n v="0.05"/>
  </r>
  <r>
    <x v="21"/>
    <s v="Iced Coffee"/>
    <s v="Special Drinks"/>
    <n v="3"/>
    <n v="24"/>
    <n v="69"/>
    <x v="1"/>
    <x v="1"/>
    <m/>
    <m/>
    <m/>
  </r>
  <r>
    <x v="22"/>
    <s v="Spanish Latte"/>
    <s v="Special Drinks"/>
    <n v="10"/>
    <n v="29"/>
    <n v="63"/>
    <x v="4"/>
    <x v="1"/>
    <n v="630"/>
    <s v="High"/>
    <n v="0.05"/>
  </r>
  <r>
    <x v="23"/>
    <s v="Iced Coffee"/>
    <s v="Special Drinks"/>
    <n v="4"/>
    <n v="48"/>
    <n v="112"/>
    <x v="0"/>
    <x v="2"/>
    <m/>
    <m/>
    <m/>
  </r>
  <r>
    <x v="24"/>
    <s v="Espresso"/>
    <s v="Special Drinks"/>
    <n v="6"/>
    <n v="32"/>
    <n v="102"/>
    <x v="1"/>
    <x v="2"/>
    <n v="612"/>
    <s v="High"/>
    <n v="0.04"/>
  </r>
  <r>
    <x v="25"/>
    <s v="Espresso"/>
    <s v="Special Drinks"/>
    <n v="5"/>
    <n v="21"/>
    <n v="98"/>
    <x v="3"/>
    <x v="2"/>
    <m/>
    <m/>
    <m/>
  </r>
  <r>
    <x v="12"/>
    <s v="Spanish Latte"/>
    <s v="Special Drinks"/>
    <n v="9"/>
    <n v="50"/>
    <n v="96"/>
    <x v="1"/>
    <x v="2"/>
    <n v="864"/>
    <s v="High"/>
    <n v="0.04"/>
  </r>
  <r>
    <x v="26"/>
    <s v="Mocha"/>
    <s v="Special Drinks"/>
    <n v="1"/>
    <n v="43"/>
    <n v="93"/>
    <x v="1"/>
    <x v="2"/>
    <m/>
    <m/>
    <m/>
  </r>
  <r>
    <x v="27"/>
    <s v="Caramel Macchiato"/>
    <s v="Special Drinks"/>
    <n v="3"/>
    <n v="38"/>
    <n v="93"/>
    <x v="1"/>
    <x v="2"/>
    <m/>
    <m/>
    <m/>
  </r>
  <r>
    <x v="28"/>
    <s v="Spanish Latte"/>
    <s v="Hot Coffee"/>
    <n v="7"/>
    <n v="22"/>
    <n v="92"/>
    <x v="4"/>
    <x v="2"/>
    <n v="644"/>
    <s v="High"/>
    <n v="0.05"/>
  </r>
  <r>
    <x v="29"/>
    <s v="Espresso"/>
    <s v="Special Drinks"/>
    <n v="1"/>
    <n v="40"/>
    <n v="78"/>
    <x v="2"/>
    <x v="2"/>
    <m/>
    <m/>
    <m/>
  </r>
  <r>
    <x v="30"/>
    <s v="Latte"/>
    <s v="Special Drinks"/>
    <n v="7"/>
    <n v="33"/>
    <n v="70"/>
    <x v="0"/>
    <x v="2"/>
    <n v="490"/>
    <s v="Normal"/>
    <s v="NOT FOUND"/>
  </r>
  <r>
    <x v="31"/>
    <s v="Mocha"/>
    <s v="Cold Coffee"/>
    <n v="1"/>
    <n v="34"/>
    <n v="69"/>
    <x v="2"/>
    <x v="2"/>
    <m/>
    <m/>
    <m/>
  </r>
  <r>
    <x v="32"/>
    <s v="Espresso"/>
    <s v="Hot Coffee"/>
    <n v="7"/>
    <n v="22"/>
    <n v="65"/>
    <x v="3"/>
    <x v="2"/>
    <n v="455"/>
    <s v="Normal"/>
    <n v="0.06"/>
  </r>
  <r>
    <x v="28"/>
    <s v="Mocha"/>
    <s v="Special Drinks"/>
    <n v="3"/>
    <n v="32"/>
    <n v="63"/>
    <x v="1"/>
    <x v="2"/>
    <m/>
    <m/>
    <m/>
  </r>
  <r>
    <x v="33"/>
    <s v="Mocha"/>
    <s v="Special Drinks"/>
    <n v="3"/>
    <n v="32"/>
    <n v="60"/>
    <x v="3"/>
    <x v="2"/>
    <m/>
    <m/>
    <m/>
  </r>
  <r>
    <x v="34"/>
    <s v="Iced Coffee"/>
    <s v="Cold Coffee"/>
    <n v="1"/>
    <n v="49"/>
    <n v="118"/>
    <x v="2"/>
    <x v="3"/>
    <m/>
    <m/>
    <m/>
  </r>
  <r>
    <x v="35"/>
    <s v="Espresso"/>
    <s v="Cold Coffee"/>
    <n v="9"/>
    <n v="49"/>
    <n v="108"/>
    <x v="4"/>
    <x v="3"/>
    <n v="972"/>
    <s v="High"/>
    <n v="0.05"/>
  </r>
  <r>
    <x v="36"/>
    <s v="Latte"/>
    <s v="Cold Coffee"/>
    <n v="8"/>
    <n v="47"/>
    <n v="106"/>
    <x v="4"/>
    <x v="3"/>
    <n v="848"/>
    <s v="High"/>
    <n v="0.05"/>
  </r>
  <r>
    <x v="37"/>
    <s v="Spanish Latte"/>
    <s v="Cold Coffee"/>
    <n v="7"/>
    <n v="45"/>
    <n v="104"/>
    <x v="1"/>
    <x v="3"/>
    <n v="728"/>
    <s v="High"/>
    <n v="0.04"/>
  </r>
  <r>
    <x v="38"/>
    <s v="Espresso"/>
    <s v="Hot Coffee"/>
    <n v="10"/>
    <n v="23"/>
    <n v="103"/>
    <x v="3"/>
    <x v="3"/>
    <n v="1030"/>
    <s v="High"/>
    <n v="0.06"/>
  </r>
  <r>
    <x v="39"/>
    <s v="Spanish Latte"/>
    <s v="Hot Coffee"/>
    <n v="9"/>
    <n v="48"/>
    <n v="101"/>
    <x v="1"/>
    <x v="3"/>
    <n v="909"/>
    <s v="High"/>
    <n v="0.04"/>
  </r>
  <r>
    <x v="40"/>
    <s v="Espresso"/>
    <s v="Cold Coffee"/>
    <n v="1"/>
    <n v="45"/>
    <n v="101"/>
    <x v="1"/>
    <x v="3"/>
    <m/>
    <m/>
    <m/>
  </r>
  <r>
    <x v="41"/>
    <s v="Caramel Macchiato"/>
    <s v="Special Drinks"/>
    <n v="5"/>
    <n v="45"/>
    <n v="94"/>
    <x v="3"/>
    <x v="3"/>
    <m/>
    <m/>
    <m/>
  </r>
  <r>
    <x v="42"/>
    <s v="Caramel Macchiato"/>
    <s v="Special Drinks"/>
    <n v="7"/>
    <n v="39"/>
    <n v="93"/>
    <x v="0"/>
    <x v="3"/>
    <n v="651"/>
    <s v="High"/>
    <s v="NOT FOUND"/>
  </r>
  <r>
    <x v="43"/>
    <s v="Mocha"/>
    <s v="Hot Coffee"/>
    <n v="6"/>
    <n v="38"/>
    <n v="81"/>
    <x v="4"/>
    <x v="3"/>
    <n v="486"/>
    <s v="Normal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8A1DB-DB96-4C8A-ABD2-EE7C102F6C06}" name="PivotTable1" cacheId="164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G9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4"/>
        <item x="2"/>
        <item x="3"/>
        <item x="0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1D00F-C317-4AD2-982C-4E8AF2223C66}" name="PivotTable2" cacheId="16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8" firstHeaderRow="1" firstDataRow="1" firstDataCol="1"/>
  <pivotFields count="11">
    <pivotField axis="axisRow" compact="0" outline="0" showAll="0" sortType="ascending">
      <items count="45">
        <item x="29"/>
        <item x="16"/>
        <item x="24"/>
        <item x="10"/>
        <item x="2"/>
        <item x="14"/>
        <item x="11"/>
        <item x="39"/>
        <item x="8"/>
        <item x="19"/>
        <item x="3"/>
        <item x="27"/>
        <item x="0"/>
        <item x="33"/>
        <item x="5"/>
        <item x="42"/>
        <item x="36"/>
        <item x="34"/>
        <item x="1"/>
        <item x="26"/>
        <item x="31"/>
        <item x="35"/>
        <item x="43"/>
        <item x="23"/>
        <item x="22"/>
        <item x="17"/>
        <item x="12"/>
        <item x="37"/>
        <item x="13"/>
        <item x="7"/>
        <item x="25"/>
        <item x="40"/>
        <item x="38"/>
        <item x="30"/>
        <item x="18"/>
        <item x="21"/>
        <item x="6"/>
        <item x="9"/>
        <item x="4"/>
        <item x="32"/>
        <item x="28"/>
        <item x="41"/>
        <item x="15"/>
        <item x="2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Quantity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4EF1A-45B0-410D-B515-3B1A94FDDBFE}" name="Table1" displayName="Table1" ref="A2:B6" totalsRowShown="0">
  <autoFilter ref="A2:B6" xr:uid="{AE54EF1A-45B0-410D-B515-3B1A94FDDBFE}"/>
  <tableColumns count="2">
    <tableColumn id="1" xr3:uid="{F966B19A-DB6B-4436-8C57-4F536FB1EBDA}" name="Salesperson"/>
    <tableColumn id="2" xr3:uid="{FE64BDD9-223F-49B4-A729-0A70DFDEE8F7}" name="Bonus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A91A-6E5B-4C94-827F-9D6EFE099941}">
  <dimension ref="A3:G9"/>
  <sheetViews>
    <sheetView workbookViewId="0">
      <selection activeCell="A4" sqref="A4"/>
    </sheetView>
  </sheetViews>
  <sheetFormatPr defaultRowHeight="14.25"/>
  <cols>
    <col min="1" max="1" width="16.625" bestFit="1" customWidth="1"/>
    <col min="2" max="2" width="14.625" bestFit="1" customWidth="1"/>
    <col min="3" max="3" width="7" bestFit="1" customWidth="1"/>
    <col min="4" max="5" width="5.625" bestFit="1" customWidth="1"/>
    <col min="6" max="6" width="4.875" bestFit="1" customWidth="1"/>
    <col min="7" max="7" width="11.25" bestFit="1" customWidth="1"/>
    <col min="8" max="8" width="15.5" bestFit="1" customWidth="1"/>
    <col min="9" max="9" width="16.5" bestFit="1" customWidth="1"/>
    <col min="10" max="10" width="15.5" bestFit="1" customWidth="1"/>
    <col min="11" max="11" width="16.5" bestFit="1" customWidth="1"/>
    <col min="12" max="12" width="20.5" bestFit="1" customWidth="1"/>
    <col min="13" max="13" width="21.5" bestFit="1" customWidth="1"/>
  </cols>
  <sheetData>
    <row r="3" spans="1:7">
      <c r="A3" s="6" t="s">
        <v>0</v>
      </c>
      <c r="B3" s="6" t="s">
        <v>1</v>
      </c>
    </row>
    <row r="4" spans="1:7">
      <c r="A4" s="6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s="7">
        <v>930</v>
      </c>
      <c r="C5" s="7"/>
      <c r="D5" s="7"/>
      <c r="E5" s="7">
        <v>1522</v>
      </c>
      <c r="F5" s="7">
        <v>2292</v>
      </c>
      <c r="G5" s="7">
        <v>4744</v>
      </c>
    </row>
    <row r="6" spans="1:7">
      <c r="A6" t="s">
        <v>10</v>
      </c>
      <c r="B6" s="7">
        <v>1190</v>
      </c>
      <c r="C6" s="7">
        <v>1666</v>
      </c>
      <c r="D6" s="7">
        <v>576</v>
      </c>
      <c r="E6" s="7">
        <v>678</v>
      </c>
      <c r="F6" s="7">
        <v>708</v>
      </c>
      <c r="G6" s="7">
        <v>4818</v>
      </c>
    </row>
    <row r="7" spans="1:7">
      <c r="A7" t="s">
        <v>11</v>
      </c>
      <c r="B7" s="7">
        <v>644</v>
      </c>
      <c r="C7" s="7"/>
      <c r="D7" s="7">
        <v>455</v>
      </c>
      <c r="E7" s="7">
        <v>490</v>
      </c>
      <c r="F7" s="7">
        <v>1476</v>
      </c>
      <c r="G7" s="7">
        <v>3065</v>
      </c>
    </row>
    <row r="8" spans="1:7">
      <c r="A8" t="s">
        <v>12</v>
      </c>
      <c r="B8" s="7">
        <v>2306</v>
      </c>
      <c r="C8" s="7"/>
      <c r="D8" s="7">
        <v>1030</v>
      </c>
      <c r="E8" s="7">
        <v>651</v>
      </c>
      <c r="F8" s="7">
        <v>1637</v>
      </c>
      <c r="G8" s="7">
        <v>5624</v>
      </c>
    </row>
    <row r="9" spans="1:7">
      <c r="A9" t="s">
        <v>8</v>
      </c>
      <c r="B9" s="7">
        <v>5070</v>
      </c>
      <c r="C9" s="7">
        <v>1666</v>
      </c>
      <c r="D9" s="7">
        <v>2061</v>
      </c>
      <c r="E9" s="7">
        <v>3341</v>
      </c>
      <c r="F9" s="7">
        <v>6113</v>
      </c>
      <c r="G9" s="7">
        <v>18251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F281-1C2D-4258-A8F3-652EBA8926EF}">
  <dimension ref="A3:B48"/>
  <sheetViews>
    <sheetView tabSelected="1" topLeftCell="A4" workbookViewId="0">
      <selection activeCell="D9" sqref="D9"/>
    </sheetView>
  </sheetViews>
  <sheetFormatPr defaultRowHeight="14.25"/>
  <cols>
    <col min="1" max="1" width="11.25" bestFit="1" customWidth="1"/>
    <col min="2" max="2" width="15.75" bestFit="1" customWidth="1"/>
  </cols>
  <sheetData>
    <row r="3" spans="1:2">
      <c r="A3" s="6" t="s">
        <v>13</v>
      </c>
      <c r="B3" t="s">
        <v>14</v>
      </c>
    </row>
    <row r="4" spans="1:2">
      <c r="A4" t="s">
        <v>15</v>
      </c>
      <c r="B4" s="7">
        <v>1</v>
      </c>
    </row>
    <row r="5" spans="1:2">
      <c r="A5" t="s">
        <v>16</v>
      </c>
      <c r="B5" s="7">
        <v>10</v>
      </c>
    </row>
    <row r="6" spans="1:2">
      <c r="A6" t="s">
        <v>17</v>
      </c>
      <c r="B6" s="7">
        <v>6</v>
      </c>
    </row>
    <row r="7" spans="1:2">
      <c r="A7" t="s">
        <v>18</v>
      </c>
      <c r="B7" s="7">
        <v>9</v>
      </c>
    </row>
    <row r="8" spans="1:2">
      <c r="A8" t="s">
        <v>19</v>
      </c>
      <c r="B8" s="7">
        <v>9</v>
      </c>
    </row>
    <row r="9" spans="1:2">
      <c r="A9" t="s">
        <v>20</v>
      </c>
      <c r="B9" s="7">
        <v>5</v>
      </c>
    </row>
    <row r="10" spans="1:2">
      <c r="A10" t="s">
        <v>21</v>
      </c>
      <c r="B10" s="7">
        <v>5</v>
      </c>
    </row>
    <row r="11" spans="1:2">
      <c r="A11" t="s">
        <v>22</v>
      </c>
      <c r="B11" s="7">
        <v>9</v>
      </c>
    </row>
    <row r="12" spans="1:2">
      <c r="A12" t="s">
        <v>23</v>
      </c>
      <c r="B12" s="7">
        <v>10</v>
      </c>
    </row>
    <row r="13" spans="1:2">
      <c r="A13" t="s">
        <v>24</v>
      </c>
      <c r="B13" s="7">
        <v>5</v>
      </c>
    </row>
    <row r="14" spans="1:2">
      <c r="A14" t="s">
        <v>25</v>
      </c>
      <c r="B14" s="7">
        <v>6</v>
      </c>
    </row>
    <row r="15" spans="1:2">
      <c r="A15" t="s">
        <v>26</v>
      </c>
      <c r="B15" s="7">
        <v>3</v>
      </c>
    </row>
    <row r="16" spans="1:2">
      <c r="A16" t="s">
        <v>27</v>
      </c>
      <c r="B16" s="7">
        <v>4</v>
      </c>
    </row>
    <row r="17" spans="1:2">
      <c r="A17" t="s">
        <v>28</v>
      </c>
      <c r="B17" s="7">
        <v>3</v>
      </c>
    </row>
    <row r="18" spans="1:2">
      <c r="A18" t="s">
        <v>29</v>
      </c>
      <c r="B18" s="7">
        <v>5</v>
      </c>
    </row>
    <row r="19" spans="1:2">
      <c r="A19" t="s">
        <v>30</v>
      </c>
      <c r="B19" s="7">
        <v>7</v>
      </c>
    </row>
    <row r="20" spans="1:2">
      <c r="A20" t="s">
        <v>31</v>
      </c>
      <c r="B20" s="7">
        <v>8</v>
      </c>
    </row>
    <row r="21" spans="1:2">
      <c r="A21" t="s">
        <v>32</v>
      </c>
      <c r="B21" s="7">
        <v>1</v>
      </c>
    </row>
    <row r="22" spans="1:2">
      <c r="A22" t="s">
        <v>33</v>
      </c>
      <c r="B22" s="7">
        <v>8</v>
      </c>
    </row>
    <row r="23" spans="1:2">
      <c r="A23" t="s">
        <v>34</v>
      </c>
      <c r="B23" s="7">
        <v>1</v>
      </c>
    </row>
    <row r="24" spans="1:2">
      <c r="A24" t="s">
        <v>35</v>
      </c>
      <c r="B24" s="7">
        <v>1</v>
      </c>
    </row>
    <row r="25" spans="1:2">
      <c r="A25" t="s">
        <v>36</v>
      </c>
      <c r="B25" s="7">
        <v>9</v>
      </c>
    </row>
    <row r="26" spans="1:2">
      <c r="A26" t="s">
        <v>37</v>
      </c>
      <c r="B26" s="7">
        <v>6</v>
      </c>
    </row>
    <row r="27" spans="1:2">
      <c r="A27" t="s">
        <v>38</v>
      </c>
      <c r="B27" s="7">
        <v>4</v>
      </c>
    </row>
    <row r="28" spans="1:2">
      <c r="A28" t="s">
        <v>39</v>
      </c>
      <c r="B28" s="7">
        <v>10</v>
      </c>
    </row>
    <row r="29" spans="1:2">
      <c r="A29" t="s">
        <v>40</v>
      </c>
      <c r="B29" s="7">
        <v>1</v>
      </c>
    </row>
    <row r="30" spans="1:2">
      <c r="A30" t="s">
        <v>41</v>
      </c>
      <c r="B30" s="7">
        <v>15</v>
      </c>
    </row>
    <row r="31" spans="1:2">
      <c r="A31" t="s">
        <v>42</v>
      </c>
      <c r="B31" s="7">
        <v>7</v>
      </c>
    </row>
    <row r="32" spans="1:2">
      <c r="A32" t="s">
        <v>43</v>
      </c>
      <c r="B32" s="7">
        <v>6</v>
      </c>
    </row>
    <row r="33" spans="1:2">
      <c r="A33" t="s">
        <v>44</v>
      </c>
      <c r="B33" s="7">
        <v>4</v>
      </c>
    </row>
    <row r="34" spans="1:2">
      <c r="A34" t="s">
        <v>45</v>
      </c>
      <c r="B34" s="7">
        <v>5</v>
      </c>
    </row>
    <row r="35" spans="1:2">
      <c r="A35" t="s">
        <v>46</v>
      </c>
      <c r="B35" s="7">
        <v>1</v>
      </c>
    </row>
    <row r="36" spans="1:2">
      <c r="A36" t="s">
        <v>47</v>
      </c>
      <c r="B36" s="7">
        <v>10</v>
      </c>
    </row>
    <row r="37" spans="1:2">
      <c r="A37" t="s">
        <v>48</v>
      </c>
      <c r="B37" s="7">
        <v>7</v>
      </c>
    </row>
    <row r="38" spans="1:2">
      <c r="A38" t="s">
        <v>49</v>
      </c>
      <c r="B38" s="7">
        <v>7</v>
      </c>
    </row>
    <row r="39" spans="1:2">
      <c r="A39" t="s">
        <v>50</v>
      </c>
      <c r="B39" s="7">
        <v>3</v>
      </c>
    </row>
    <row r="40" spans="1:2">
      <c r="A40" t="s">
        <v>51</v>
      </c>
      <c r="B40" s="7">
        <v>6</v>
      </c>
    </row>
    <row r="41" spans="1:2">
      <c r="A41" t="s">
        <v>52</v>
      </c>
      <c r="B41" s="7">
        <v>10</v>
      </c>
    </row>
    <row r="42" spans="1:2">
      <c r="A42" t="s">
        <v>53</v>
      </c>
      <c r="B42" s="7">
        <v>1</v>
      </c>
    </row>
    <row r="43" spans="1:2">
      <c r="A43" t="s">
        <v>54</v>
      </c>
      <c r="B43" s="7">
        <v>7</v>
      </c>
    </row>
    <row r="44" spans="1:2">
      <c r="A44" t="s">
        <v>55</v>
      </c>
      <c r="B44" s="7">
        <v>10</v>
      </c>
    </row>
    <row r="45" spans="1:2">
      <c r="A45" t="s">
        <v>56</v>
      </c>
      <c r="B45" s="7">
        <v>5</v>
      </c>
    </row>
    <row r="46" spans="1:2">
      <c r="A46" t="s">
        <v>57</v>
      </c>
      <c r="B46" s="7">
        <v>1</v>
      </c>
    </row>
    <row r="47" spans="1:2">
      <c r="A47" t="s">
        <v>58</v>
      </c>
      <c r="B47" s="7">
        <v>8</v>
      </c>
    </row>
    <row r="48" spans="1:2">
      <c r="A48" t="s">
        <v>8</v>
      </c>
      <c r="B48" s="7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1"/>
  <sheetViews>
    <sheetView showOutlineSymbols="0" showWhiteSpace="0" workbookViewId="0">
      <selection activeCell="L1" sqref="L1"/>
    </sheetView>
  </sheetViews>
  <sheetFormatPr defaultRowHeight="18"/>
  <cols>
    <col min="1" max="1" width="10.125" bestFit="1" customWidth="1"/>
    <col min="2" max="2" width="17.625" customWidth="1"/>
    <col min="3" max="3" width="12.75" bestFit="1" customWidth="1"/>
    <col min="4" max="4" width="8.25" bestFit="1" customWidth="1"/>
    <col min="5" max="5" width="11.875" customWidth="1"/>
    <col min="6" max="6" width="5.5" bestFit="1" customWidth="1"/>
    <col min="7" max="7" width="11.125" bestFit="1" customWidth="1"/>
    <col min="8" max="8" width="13.875" bestFit="1" customWidth="1"/>
    <col min="10" max="10" width="12.625" bestFit="1" customWidth="1"/>
    <col min="11" max="11" width="12.75" bestFit="1" customWidth="1"/>
  </cols>
  <sheetData>
    <row r="1" spans="1:11" s="1" customFormat="1" ht="16.5">
      <c r="A1" s="1" t="s">
        <v>13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1</v>
      </c>
      <c r="H1" s="1" t="s">
        <v>2</v>
      </c>
      <c r="I1" s="1" t="s">
        <v>64</v>
      </c>
      <c r="J1" s="3" t="s">
        <v>65</v>
      </c>
      <c r="K1" s="2" t="s">
        <v>66</v>
      </c>
    </row>
    <row r="2" spans="1:11" ht="14.25" hidden="1">
      <c r="A2" t="s">
        <v>27</v>
      </c>
      <c r="B2" t="s">
        <v>67</v>
      </c>
      <c r="C2" t="s">
        <v>68</v>
      </c>
      <c r="D2">
        <v>4</v>
      </c>
      <c r="E2">
        <v>27</v>
      </c>
      <c r="F2">
        <v>120</v>
      </c>
      <c r="G2" t="s">
        <v>6</v>
      </c>
      <c r="H2" t="s">
        <v>9</v>
      </c>
    </row>
    <row r="3" spans="1:11" ht="14.25">
      <c r="A3" t="s">
        <v>33</v>
      </c>
      <c r="B3" t="s">
        <v>69</v>
      </c>
      <c r="C3" t="s">
        <v>68</v>
      </c>
      <c r="D3">
        <v>8</v>
      </c>
      <c r="E3">
        <v>21</v>
      </c>
      <c r="F3">
        <v>116</v>
      </c>
      <c r="G3" t="s">
        <v>6</v>
      </c>
      <c r="H3" t="s">
        <v>9</v>
      </c>
      <c r="I3">
        <f>D3*F3</f>
        <v>928</v>
      </c>
      <c r="J3" t="str">
        <f>IF(I3&gt;600,"High","Normal")</f>
        <v>High</v>
      </c>
      <c r="K3" t="str">
        <f>_xlfn.XLOOKUP(G3, Table1[Salesperson],Table1[Bonus Rate],"NOT FOUND")</f>
        <v>NOT FOUND</v>
      </c>
    </row>
    <row r="4" spans="1:11" ht="14.25">
      <c r="A4" t="s">
        <v>19</v>
      </c>
      <c r="B4" t="s">
        <v>67</v>
      </c>
      <c r="C4" t="s">
        <v>68</v>
      </c>
      <c r="D4">
        <v>9</v>
      </c>
      <c r="E4">
        <v>49</v>
      </c>
      <c r="F4">
        <v>114</v>
      </c>
      <c r="G4" t="s">
        <v>7</v>
      </c>
      <c r="H4" t="s">
        <v>9</v>
      </c>
      <c r="I4">
        <f t="shared" ref="I4:I5" si="0">D4*F4</f>
        <v>1026</v>
      </c>
      <c r="J4" t="str">
        <f t="shared" ref="J4:J5" si="1">IF(I4&gt;600,"High","Normal")</f>
        <v>High</v>
      </c>
      <c r="K4">
        <f>_xlfn.XLOOKUP(G4, Table1[Salesperson],Table1[Bonus Rate],"NOT FOUND")</f>
        <v>0.04</v>
      </c>
    </row>
    <row r="5" spans="1:11" ht="14.25">
      <c r="A5" t="s">
        <v>25</v>
      </c>
      <c r="B5" t="s">
        <v>67</v>
      </c>
      <c r="C5" t="s">
        <v>70</v>
      </c>
      <c r="D5">
        <v>6</v>
      </c>
      <c r="E5">
        <v>50</v>
      </c>
      <c r="F5">
        <v>113</v>
      </c>
      <c r="G5" t="s">
        <v>7</v>
      </c>
      <c r="H5" t="s">
        <v>9</v>
      </c>
      <c r="I5">
        <f t="shared" si="0"/>
        <v>678</v>
      </c>
      <c r="J5" t="str">
        <f t="shared" si="1"/>
        <v>High</v>
      </c>
      <c r="K5">
        <f>_xlfn.XLOOKUP(G5, Table1[Salesperson],Table1[Bonus Rate],"NOT FOUND")</f>
        <v>0.04</v>
      </c>
    </row>
    <row r="6" spans="1:11" ht="14.25" hidden="1">
      <c r="A6" t="s">
        <v>53</v>
      </c>
      <c r="B6" t="s">
        <v>71</v>
      </c>
      <c r="C6" t="s">
        <v>68</v>
      </c>
      <c r="D6">
        <v>1</v>
      </c>
      <c r="E6">
        <v>33</v>
      </c>
      <c r="F6">
        <v>110</v>
      </c>
      <c r="G6" t="s">
        <v>4</v>
      </c>
      <c r="H6" t="s">
        <v>9</v>
      </c>
    </row>
    <row r="7" spans="1:11" ht="14.25" hidden="1">
      <c r="A7" t="s">
        <v>29</v>
      </c>
      <c r="B7" t="s">
        <v>72</v>
      </c>
      <c r="C7" t="s">
        <v>73</v>
      </c>
      <c r="D7">
        <v>5</v>
      </c>
      <c r="E7">
        <v>43</v>
      </c>
      <c r="F7">
        <v>101</v>
      </c>
      <c r="G7" t="s">
        <v>5</v>
      </c>
      <c r="H7" t="s">
        <v>9</v>
      </c>
    </row>
    <row r="8" spans="1:11" ht="14.25">
      <c r="A8" t="s">
        <v>51</v>
      </c>
      <c r="B8" t="s">
        <v>71</v>
      </c>
      <c r="C8" t="s">
        <v>68</v>
      </c>
      <c r="D8">
        <v>6</v>
      </c>
      <c r="E8">
        <v>40</v>
      </c>
      <c r="F8">
        <v>98</v>
      </c>
      <c r="G8" t="s">
        <v>7</v>
      </c>
      <c r="H8" t="s">
        <v>9</v>
      </c>
      <c r="I8">
        <f>D8*F8</f>
        <v>588</v>
      </c>
      <c r="J8" t="str">
        <f>IF(I8&gt;600,"High","Normal")</f>
        <v>Normal</v>
      </c>
      <c r="K8">
        <f>_xlfn.XLOOKUP(G8, Table1[Salesperson],Table1[Bonus Rate],"NOT FOUND")</f>
        <v>0.04</v>
      </c>
    </row>
    <row r="9" spans="1:11" ht="14.25" hidden="1">
      <c r="A9" t="s">
        <v>44</v>
      </c>
      <c r="B9" t="s">
        <v>67</v>
      </c>
      <c r="C9" t="s">
        <v>70</v>
      </c>
      <c r="D9">
        <v>4</v>
      </c>
      <c r="E9">
        <v>34</v>
      </c>
      <c r="F9">
        <v>96</v>
      </c>
      <c r="G9" t="s">
        <v>5</v>
      </c>
      <c r="H9" t="s">
        <v>9</v>
      </c>
    </row>
    <row r="10" spans="1:11" ht="14.25">
      <c r="A10" t="s">
        <v>23</v>
      </c>
      <c r="B10" t="s">
        <v>67</v>
      </c>
      <c r="C10" t="s">
        <v>73</v>
      </c>
      <c r="D10">
        <v>10</v>
      </c>
      <c r="E10">
        <v>26</v>
      </c>
      <c r="F10">
        <v>93</v>
      </c>
      <c r="G10" t="s">
        <v>3</v>
      </c>
      <c r="H10" t="s">
        <v>9</v>
      </c>
      <c r="I10">
        <f>D10*F10</f>
        <v>930</v>
      </c>
      <c r="J10" t="str">
        <f>IF(I10&gt;600,"High","Normal")</f>
        <v>High</v>
      </c>
      <c r="K10">
        <f>_xlfn.XLOOKUP(G10, Table1[Salesperson],Table1[Bonus Rate],"NOT FOUND")</f>
        <v>0.05</v>
      </c>
    </row>
    <row r="11" spans="1:11" ht="14.25" hidden="1">
      <c r="A11" t="s">
        <v>52</v>
      </c>
      <c r="B11" t="s">
        <v>74</v>
      </c>
      <c r="C11" t="s">
        <v>68</v>
      </c>
      <c r="D11">
        <v>4</v>
      </c>
      <c r="E11">
        <v>31</v>
      </c>
      <c r="F11">
        <v>69</v>
      </c>
      <c r="G11" t="s">
        <v>7</v>
      </c>
      <c r="H11" t="s">
        <v>9</v>
      </c>
    </row>
    <row r="12" spans="1:11" ht="14.25">
      <c r="A12" t="s">
        <v>18</v>
      </c>
      <c r="B12" t="s">
        <v>74</v>
      </c>
      <c r="C12" t="s">
        <v>68</v>
      </c>
      <c r="D12">
        <v>9</v>
      </c>
      <c r="E12">
        <v>28</v>
      </c>
      <c r="F12">
        <v>66</v>
      </c>
      <c r="G12" t="s">
        <v>6</v>
      </c>
      <c r="H12" t="s">
        <v>9</v>
      </c>
      <c r="I12">
        <f>D12*F12</f>
        <v>594</v>
      </c>
      <c r="J12" t="str">
        <f>IF(I12&gt;600,"High","Normal")</f>
        <v>Normal</v>
      </c>
      <c r="K12" t="str">
        <f>_xlfn.XLOOKUP(G12, Table1[Salesperson],Table1[Bonus Rate],"NOT FOUND")</f>
        <v>NOT FOUND</v>
      </c>
    </row>
    <row r="13" spans="1:11" ht="14.25" hidden="1">
      <c r="A13" t="s">
        <v>21</v>
      </c>
      <c r="B13" t="s">
        <v>71</v>
      </c>
      <c r="C13" t="s">
        <v>68</v>
      </c>
      <c r="D13">
        <v>5</v>
      </c>
      <c r="E13">
        <v>50</v>
      </c>
      <c r="F13">
        <v>66</v>
      </c>
      <c r="G13" t="s">
        <v>5</v>
      </c>
      <c r="H13" t="s">
        <v>9</v>
      </c>
    </row>
    <row r="14" spans="1:11" ht="14.25">
      <c r="A14" t="s">
        <v>41</v>
      </c>
      <c r="B14" t="s">
        <v>69</v>
      </c>
      <c r="C14" t="s">
        <v>68</v>
      </c>
      <c r="D14">
        <v>6</v>
      </c>
      <c r="E14">
        <v>42</v>
      </c>
      <c r="F14">
        <v>118</v>
      </c>
      <c r="G14" t="s">
        <v>7</v>
      </c>
      <c r="H14" t="s">
        <v>10</v>
      </c>
      <c r="I14">
        <f t="shared" ref="I14:I15" si="2">D14*F14</f>
        <v>708</v>
      </c>
      <c r="J14" t="str">
        <f t="shared" ref="J14:J15" si="3">IF(I14&gt;600,"High","Normal")</f>
        <v>High</v>
      </c>
      <c r="K14">
        <f>_xlfn.XLOOKUP(G14, Table1[Salesperson],Table1[Bonus Rate],"NOT FOUND")</f>
        <v>0.04</v>
      </c>
    </row>
    <row r="15" spans="1:11" ht="14.25">
      <c r="A15" t="s">
        <v>43</v>
      </c>
      <c r="B15" t="s">
        <v>74</v>
      </c>
      <c r="C15" t="s">
        <v>70</v>
      </c>
      <c r="D15">
        <v>6</v>
      </c>
      <c r="E15">
        <v>37</v>
      </c>
      <c r="F15">
        <v>113</v>
      </c>
      <c r="G15" t="s">
        <v>6</v>
      </c>
      <c r="H15" t="s">
        <v>10</v>
      </c>
      <c r="I15">
        <f t="shared" si="2"/>
        <v>678</v>
      </c>
      <c r="J15" t="str">
        <f t="shared" si="3"/>
        <v>High</v>
      </c>
      <c r="K15" t="str">
        <f>_xlfn.XLOOKUP(G15, Table1[Salesperson],Table1[Bonus Rate],"NOT FOUND")</f>
        <v>NOT FOUND</v>
      </c>
    </row>
    <row r="16" spans="1:11" ht="14.25" hidden="1">
      <c r="A16" t="s">
        <v>20</v>
      </c>
      <c r="B16" t="s">
        <v>71</v>
      </c>
      <c r="C16" t="s">
        <v>70</v>
      </c>
      <c r="D16">
        <v>5</v>
      </c>
      <c r="E16">
        <v>23</v>
      </c>
      <c r="F16">
        <v>109</v>
      </c>
      <c r="G16" t="s">
        <v>4</v>
      </c>
      <c r="H16" t="s">
        <v>10</v>
      </c>
    </row>
    <row r="17" spans="1:11" ht="14.25" hidden="1">
      <c r="A17" t="s">
        <v>57</v>
      </c>
      <c r="B17" t="s">
        <v>69</v>
      </c>
      <c r="C17" t="s">
        <v>70</v>
      </c>
      <c r="D17">
        <v>1</v>
      </c>
      <c r="E17">
        <v>42</v>
      </c>
      <c r="F17">
        <v>109</v>
      </c>
      <c r="G17" t="s">
        <v>7</v>
      </c>
      <c r="H17" t="s">
        <v>10</v>
      </c>
    </row>
    <row r="18" spans="1:11" ht="14.25">
      <c r="A18" t="s">
        <v>16</v>
      </c>
      <c r="B18" t="s">
        <v>67</v>
      </c>
      <c r="C18" t="s">
        <v>70</v>
      </c>
      <c r="D18">
        <v>10</v>
      </c>
      <c r="E18">
        <v>30</v>
      </c>
      <c r="F18">
        <v>105</v>
      </c>
      <c r="G18" t="s">
        <v>4</v>
      </c>
      <c r="H18" t="s">
        <v>10</v>
      </c>
      <c r="I18">
        <f>D18*F18</f>
        <v>1050</v>
      </c>
      <c r="J18" t="str">
        <f>IF(I18&gt;600,"High","Normal")</f>
        <v>High</v>
      </c>
      <c r="K18">
        <f>_xlfn.XLOOKUP(G18, Table1[Salesperson],Table1[Bonus Rate],"NOT FOUND")</f>
        <v>0.05</v>
      </c>
    </row>
    <row r="19" spans="1:11" ht="14.25" hidden="1">
      <c r="A19" t="s">
        <v>40</v>
      </c>
      <c r="B19" t="s">
        <v>74</v>
      </c>
      <c r="C19" t="s">
        <v>70</v>
      </c>
      <c r="D19">
        <v>1</v>
      </c>
      <c r="E19">
        <v>41</v>
      </c>
      <c r="F19">
        <v>103</v>
      </c>
      <c r="G19" t="s">
        <v>4</v>
      </c>
      <c r="H19" t="s">
        <v>10</v>
      </c>
    </row>
    <row r="20" spans="1:11" ht="14.25">
      <c r="A20" t="s">
        <v>52</v>
      </c>
      <c r="B20" t="s">
        <v>69</v>
      </c>
      <c r="C20" t="s">
        <v>68</v>
      </c>
      <c r="D20">
        <v>6</v>
      </c>
      <c r="E20">
        <v>31</v>
      </c>
      <c r="F20">
        <v>96</v>
      </c>
      <c r="G20" t="s">
        <v>5</v>
      </c>
      <c r="H20" t="s">
        <v>10</v>
      </c>
      <c r="I20">
        <f t="shared" ref="I20:I21" si="4">D20*F20</f>
        <v>576</v>
      </c>
      <c r="J20" t="str">
        <f t="shared" ref="J20:J21" si="5">IF(I20&gt;600,"High","Normal")</f>
        <v>Normal</v>
      </c>
      <c r="K20">
        <f>_xlfn.XLOOKUP(G20, Table1[Salesperson],Table1[Bonus Rate],"NOT FOUND")</f>
        <v>0.06</v>
      </c>
    </row>
    <row r="21" spans="1:11" ht="14.25">
      <c r="A21" t="s">
        <v>49</v>
      </c>
      <c r="B21" t="s">
        <v>75</v>
      </c>
      <c r="C21" t="s">
        <v>68</v>
      </c>
      <c r="D21">
        <v>7</v>
      </c>
      <c r="E21">
        <v>49</v>
      </c>
      <c r="F21">
        <v>88</v>
      </c>
      <c r="G21" t="s">
        <v>4</v>
      </c>
      <c r="H21" t="s">
        <v>10</v>
      </c>
      <c r="I21">
        <f t="shared" si="4"/>
        <v>616</v>
      </c>
      <c r="J21" t="str">
        <f t="shared" si="5"/>
        <v>High</v>
      </c>
      <c r="K21">
        <f>_xlfn.XLOOKUP(G21, Table1[Salesperson],Table1[Bonus Rate],"NOT FOUND")</f>
        <v>0.05</v>
      </c>
    </row>
    <row r="22" spans="1:11" ht="14.25" hidden="1">
      <c r="A22" t="s">
        <v>24</v>
      </c>
      <c r="B22" t="s">
        <v>72</v>
      </c>
      <c r="C22" t="s">
        <v>73</v>
      </c>
      <c r="D22">
        <v>5</v>
      </c>
      <c r="E22">
        <v>43</v>
      </c>
      <c r="F22">
        <v>78</v>
      </c>
      <c r="G22" t="s">
        <v>5</v>
      </c>
      <c r="H22" t="s">
        <v>10</v>
      </c>
    </row>
    <row r="23" spans="1:11" ht="14.25">
      <c r="A23" t="s">
        <v>58</v>
      </c>
      <c r="B23" t="s">
        <v>76</v>
      </c>
      <c r="C23" t="s">
        <v>73</v>
      </c>
      <c r="D23">
        <v>8</v>
      </c>
      <c r="E23">
        <v>40</v>
      </c>
      <c r="F23">
        <v>70</v>
      </c>
      <c r="G23" t="s">
        <v>3</v>
      </c>
      <c r="H23" t="s">
        <v>10</v>
      </c>
      <c r="I23">
        <f>D23*F23</f>
        <v>560</v>
      </c>
      <c r="J23" t="str">
        <f>IF(I23&gt;600,"High","Normal")</f>
        <v>Normal</v>
      </c>
      <c r="K23">
        <f>_xlfn.XLOOKUP(G23, Table1[Salesperson],Table1[Bonus Rate],"NOT FOUND")</f>
        <v>0.05</v>
      </c>
    </row>
    <row r="24" spans="1:11" ht="14.25" hidden="1">
      <c r="A24" t="s">
        <v>50</v>
      </c>
      <c r="B24" t="s">
        <v>75</v>
      </c>
      <c r="C24" t="s">
        <v>73</v>
      </c>
      <c r="D24">
        <v>3</v>
      </c>
      <c r="E24">
        <v>24</v>
      </c>
      <c r="F24">
        <v>69</v>
      </c>
      <c r="G24" t="s">
        <v>7</v>
      </c>
      <c r="H24" t="s">
        <v>10</v>
      </c>
    </row>
    <row r="25" spans="1:11" ht="14.25">
      <c r="A25" t="s">
        <v>39</v>
      </c>
      <c r="B25" t="s">
        <v>76</v>
      </c>
      <c r="C25" t="s">
        <v>73</v>
      </c>
      <c r="D25">
        <v>10</v>
      </c>
      <c r="E25">
        <v>29</v>
      </c>
      <c r="F25">
        <v>63</v>
      </c>
      <c r="G25" t="s">
        <v>3</v>
      </c>
      <c r="H25" t="s">
        <v>10</v>
      </c>
      <c r="I25">
        <f>D25*F25</f>
        <v>630</v>
      </c>
      <c r="J25" t="str">
        <f>IF(I25&gt;600,"High","Normal")</f>
        <v>High</v>
      </c>
      <c r="K25">
        <f>_xlfn.XLOOKUP(G25, Table1[Salesperson],Table1[Bonus Rate],"NOT FOUND")</f>
        <v>0.05</v>
      </c>
    </row>
    <row r="26" spans="1:11" ht="14.25" hidden="1">
      <c r="A26" t="s">
        <v>38</v>
      </c>
      <c r="B26" t="s">
        <v>75</v>
      </c>
      <c r="C26" t="s">
        <v>73</v>
      </c>
      <c r="D26">
        <v>4</v>
      </c>
      <c r="E26">
        <v>48</v>
      </c>
      <c r="F26">
        <v>112</v>
      </c>
      <c r="G26" t="s">
        <v>6</v>
      </c>
      <c r="H26" t="s">
        <v>11</v>
      </c>
    </row>
    <row r="27" spans="1:11" ht="14.25">
      <c r="A27" t="s">
        <v>17</v>
      </c>
      <c r="B27" t="s">
        <v>71</v>
      </c>
      <c r="C27" t="s">
        <v>73</v>
      </c>
      <c r="D27">
        <v>6</v>
      </c>
      <c r="E27">
        <v>32</v>
      </c>
      <c r="F27">
        <v>102</v>
      </c>
      <c r="G27" t="s">
        <v>7</v>
      </c>
      <c r="H27" t="s">
        <v>11</v>
      </c>
      <c r="I27">
        <f>D27*F27</f>
        <v>612</v>
      </c>
      <c r="J27" t="str">
        <f>IF(I27&gt;600,"High","Normal")</f>
        <v>High</v>
      </c>
      <c r="K27">
        <f>_xlfn.XLOOKUP(G27, Table1[Salesperson],Table1[Bonus Rate],"NOT FOUND")</f>
        <v>0.04</v>
      </c>
    </row>
    <row r="28" spans="1:11" ht="14.25" hidden="1">
      <c r="A28" t="s">
        <v>45</v>
      </c>
      <c r="B28" t="s">
        <v>71</v>
      </c>
      <c r="C28" t="s">
        <v>73</v>
      </c>
      <c r="D28">
        <v>5</v>
      </c>
      <c r="E28">
        <v>21</v>
      </c>
      <c r="F28">
        <v>98</v>
      </c>
      <c r="G28" t="s">
        <v>5</v>
      </c>
      <c r="H28" t="s">
        <v>11</v>
      </c>
    </row>
    <row r="29" spans="1:11" ht="14.25">
      <c r="A29" t="s">
        <v>41</v>
      </c>
      <c r="B29" t="s">
        <v>76</v>
      </c>
      <c r="C29" t="s">
        <v>73</v>
      </c>
      <c r="D29">
        <v>9</v>
      </c>
      <c r="E29">
        <v>50</v>
      </c>
      <c r="F29">
        <v>96</v>
      </c>
      <c r="G29" t="s">
        <v>7</v>
      </c>
      <c r="H29" t="s">
        <v>11</v>
      </c>
      <c r="I29">
        <f>D29*F29</f>
        <v>864</v>
      </c>
      <c r="J29" t="str">
        <f>IF(I29&gt;600,"High","Normal")</f>
        <v>High</v>
      </c>
      <c r="K29">
        <f>_xlfn.XLOOKUP(G29, Table1[Salesperson],Table1[Bonus Rate],"NOT FOUND")</f>
        <v>0.04</v>
      </c>
    </row>
    <row r="30" spans="1:11" ht="14.25" hidden="1">
      <c r="A30" t="s">
        <v>34</v>
      </c>
      <c r="B30" t="s">
        <v>69</v>
      </c>
      <c r="C30" t="s">
        <v>73</v>
      </c>
      <c r="D30">
        <v>1</v>
      </c>
      <c r="E30">
        <v>43</v>
      </c>
      <c r="F30">
        <v>93</v>
      </c>
      <c r="G30" t="s">
        <v>7</v>
      </c>
      <c r="H30" t="s">
        <v>11</v>
      </c>
    </row>
    <row r="31" spans="1:11" ht="14.25" hidden="1">
      <c r="A31" t="s">
        <v>26</v>
      </c>
      <c r="B31" t="s">
        <v>72</v>
      </c>
      <c r="C31" t="s">
        <v>73</v>
      </c>
      <c r="D31">
        <v>3</v>
      </c>
      <c r="E31">
        <v>38</v>
      </c>
      <c r="F31">
        <v>93</v>
      </c>
      <c r="G31" t="s">
        <v>7</v>
      </c>
      <c r="H31" t="s">
        <v>11</v>
      </c>
    </row>
    <row r="32" spans="1:11" ht="14.25">
      <c r="A32" t="s">
        <v>55</v>
      </c>
      <c r="B32" t="s">
        <v>76</v>
      </c>
      <c r="C32" t="s">
        <v>70</v>
      </c>
      <c r="D32">
        <v>7</v>
      </c>
      <c r="E32">
        <v>22</v>
      </c>
      <c r="F32">
        <v>92</v>
      </c>
      <c r="G32" t="s">
        <v>3</v>
      </c>
      <c r="H32" t="s">
        <v>11</v>
      </c>
      <c r="I32">
        <f>D32*F32</f>
        <v>644</v>
      </c>
      <c r="J32" t="str">
        <f>IF(I32&gt;600,"High","Normal")</f>
        <v>High</v>
      </c>
      <c r="K32">
        <f>_xlfn.XLOOKUP(G32, Table1[Salesperson],Table1[Bonus Rate],"NOT FOUND")</f>
        <v>0.05</v>
      </c>
    </row>
    <row r="33" spans="1:11" ht="14.25" hidden="1">
      <c r="A33" t="s">
        <v>15</v>
      </c>
      <c r="B33" t="s">
        <v>71</v>
      </c>
      <c r="C33" t="s">
        <v>73</v>
      </c>
      <c r="D33">
        <v>1</v>
      </c>
      <c r="E33">
        <v>40</v>
      </c>
      <c r="F33">
        <v>78</v>
      </c>
      <c r="G33" t="s">
        <v>4</v>
      </c>
      <c r="H33" t="s">
        <v>11</v>
      </c>
    </row>
    <row r="34" spans="1:11" ht="14.25">
      <c r="A34" t="s">
        <v>48</v>
      </c>
      <c r="B34" t="s">
        <v>74</v>
      </c>
      <c r="C34" t="s">
        <v>73</v>
      </c>
      <c r="D34">
        <v>7</v>
      </c>
      <c r="E34">
        <v>33</v>
      </c>
      <c r="F34">
        <v>70</v>
      </c>
      <c r="G34" t="s">
        <v>6</v>
      </c>
      <c r="H34" t="s">
        <v>11</v>
      </c>
      <c r="I34">
        <f>D34*F34</f>
        <v>490</v>
      </c>
      <c r="J34" t="str">
        <f>IF(I34&gt;600,"High","Normal")</f>
        <v>Normal</v>
      </c>
      <c r="K34" t="str">
        <f>_xlfn.XLOOKUP(G34, Table1[Salesperson],Table1[Bonus Rate],"NOT FOUND")</f>
        <v>NOT FOUND</v>
      </c>
    </row>
    <row r="35" spans="1:11" ht="14.25" hidden="1">
      <c r="A35" t="s">
        <v>35</v>
      </c>
      <c r="B35" t="s">
        <v>69</v>
      </c>
      <c r="C35" t="s">
        <v>68</v>
      </c>
      <c r="D35">
        <v>1</v>
      </c>
      <c r="E35">
        <v>34</v>
      </c>
      <c r="F35">
        <v>69</v>
      </c>
      <c r="G35" t="s">
        <v>4</v>
      </c>
      <c r="H35" t="s">
        <v>11</v>
      </c>
    </row>
    <row r="36" spans="1:11" ht="14.25">
      <c r="A36" t="s">
        <v>54</v>
      </c>
      <c r="B36" t="s">
        <v>71</v>
      </c>
      <c r="C36" t="s">
        <v>70</v>
      </c>
      <c r="D36">
        <v>7</v>
      </c>
      <c r="E36">
        <v>22</v>
      </c>
      <c r="F36">
        <v>65</v>
      </c>
      <c r="G36" t="s">
        <v>5</v>
      </c>
      <c r="H36" t="s">
        <v>11</v>
      </c>
      <c r="I36">
        <f>D36*F36</f>
        <v>455</v>
      </c>
      <c r="J36" t="str">
        <f>IF(I36&gt;600,"High","Normal")</f>
        <v>Normal</v>
      </c>
      <c r="K36">
        <f>_xlfn.XLOOKUP(G36, Table1[Salesperson],Table1[Bonus Rate],"NOT FOUND")</f>
        <v>0.06</v>
      </c>
    </row>
    <row r="37" spans="1:11" ht="14.25" hidden="1">
      <c r="A37" t="s">
        <v>55</v>
      </c>
      <c r="B37" t="s">
        <v>69</v>
      </c>
      <c r="C37" t="s">
        <v>73</v>
      </c>
      <c r="D37">
        <v>3</v>
      </c>
      <c r="E37">
        <v>32</v>
      </c>
      <c r="F37">
        <v>63</v>
      </c>
      <c r="G37" t="s">
        <v>7</v>
      </c>
      <c r="H37" t="s">
        <v>11</v>
      </c>
    </row>
    <row r="38" spans="1:11" ht="14.25" hidden="1">
      <c r="A38" t="s">
        <v>28</v>
      </c>
      <c r="B38" t="s">
        <v>69</v>
      </c>
      <c r="C38" t="s">
        <v>73</v>
      </c>
      <c r="D38">
        <v>3</v>
      </c>
      <c r="E38">
        <v>32</v>
      </c>
      <c r="F38">
        <v>60</v>
      </c>
      <c r="G38" t="s">
        <v>5</v>
      </c>
      <c r="H38" t="s">
        <v>11</v>
      </c>
    </row>
    <row r="39" spans="1:11" ht="14.25" hidden="1">
      <c r="A39" t="s">
        <v>32</v>
      </c>
      <c r="B39" t="s">
        <v>75</v>
      </c>
      <c r="C39" t="s">
        <v>68</v>
      </c>
      <c r="D39">
        <v>1</v>
      </c>
      <c r="E39">
        <v>49</v>
      </c>
      <c r="F39">
        <v>118</v>
      </c>
      <c r="G39" t="s">
        <v>4</v>
      </c>
      <c r="H39" t="s">
        <v>12</v>
      </c>
    </row>
    <row r="40" spans="1:11" ht="14.25">
      <c r="A40" t="s">
        <v>36</v>
      </c>
      <c r="B40" t="s">
        <v>71</v>
      </c>
      <c r="C40" t="s">
        <v>68</v>
      </c>
      <c r="D40">
        <v>9</v>
      </c>
      <c r="E40">
        <v>49</v>
      </c>
      <c r="F40">
        <v>108</v>
      </c>
      <c r="G40" t="s">
        <v>3</v>
      </c>
      <c r="H40" t="s">
        <v>12</v>
      </c>
      <c r="I40">
        <f t="shared" ref="I40:I44" si="6">D40*F40</f>
        <v>972</v>
      </c>
      <c r="J40" t="str">
        <f t="shared" ref="J40:J44" si="7">IF(I40&gt;600,"High","Normal")</f>
        <v>High</v>
      </c>
      <c r="K40">
        <f>_xlfn.XLOOKUP(G40, Table1[Salesperson],Table1[Bonus Rate],"NOT FOUND")</f>
        <v>0.05</v>
      </c>
    </row>
    <row r="41" spans="1:11" ht="14.25">
      <c r="A41" t="s">
        <v>31</v>
      </c>
      <c r="B41" t="s">
        <v>74</v>
      </c>
      <c r="C41" t="s">
        <v>68</v>
      </c>
      <c r="D41">
        <v>8</v>
      </c>
      <c r="E41">
        <v>47</v>
      </c>
      <c r="F41">
        <v>106</v>
      </c>
      <c r="G41" t="s">
        <v>3</v>
      </c>
      <c r="H41" t="s">
        <v>12</v>
      </c>
      <c r="I41">
        <f t="shared" si="6"/>
        <v>848</v>
      </c>
      <c r="J41" t="str">
        <f t="shared" si="7"/>
        <v>High</v>
      </c>
      <c r="K41">
        <f>_xlfn.XLOOKUP(G41, Table1[Salesperson],Table1[Bonus Rate],"NOT FOUND")</f>
        <v>0.05</v>
      </c>
    </row>
    <row r="42" spans="1:11" ht="14.25">
      <c r="A42" t="s">
        <v>42</v>
      </c>
      <c r="B42" t="s">
        <v>76</v>
      </c>
      <c r="C42" t="s">
        <v>68</v>
      </c>
      <c r="D42">
        <v>7</v>
      </c>
      <c r="E42">
        <v>45</v>
      </c>
      <c r="F42">
        <v>104</v>
      </c>
      <c r="G42" t="s">
        <v>7</v>
      </c>
      <c r="H42" t="s">
        <v>12</v>
      </c>
      <c r="I42">
        <f t="shared" si="6"/>
        <v>728</v>
      </c>
      <c r="J42" t="str">
        <f t="shared" si="7"/>
        <v>High</v>
      </c>
      <c r="K42">
        <f>_xlfn.XLOOKUP(G42, Table1[Salesperson],Table1[Bonus Rate],"NOT FOUND")</f>
        <v>0.04</v>
      </c>
    </row>
    <row r="43" spans="1:11" ht="14.25">
      <c r="A43" t="s">
        <v>47</v>
      </c>
      <c r="B43" t="s">
        <v>71</v>
      </c>
      <c r="C43" t="s">
        <v>70</v>
      </c>
      <c r="D43">
        <v>10</v>
      </c>
      <c r="E43">
        <v>23</v>
      </c>
      <c r="F43">
        <v>103</v>
      </c>
      <c r="G43" t="s">
        <v>5</v>
      </c>
      <c r="H43" t="s">
        <v>12</v>
      </c>
      <c r="I43">
        <f t="shared" si="6"/>
        <v>1030</v>
      </c>
      <c r="J43" t="str">
        <f t="shared" si="7"/>
        <v>High</v>
      </c>
      <c r="K43">
        <f>_xlfn.XLOOKUP(G43, Table1[Salesperson],Table1[Bonus Rate],"NOT FOUND")</f>
        <v>0.06</v>
      </c>
    </row>
    <row r="44" spans="1:11" ht="14.25">
      <c r="A44" t="s">
        <v>22</v>
      </c>
      <c r="B44" t="s">
        <v>76</v>
      </c>
      <c r="C44" t="s">
        <v>70</v>
      </c>
      <c r="D44">
        <v>9</v>
      </c>
      <c r="E44">
        <v>48</v>
      </c>
      <c r="F44">
        <v>101</v>
      </c>
      <c r="G44" t="s">
        <v>7</v>
      </c>
      <c r="H44" t="s">
        <v>12</v>
      </c>
      <c r="I44">
        <f t="shared" si="6"/>
        <v>909</v>
      </c>
      <c r="J44" t="str">
        <f t="shared" si="7"/>
        <v>High</v>
      </c>
      <c r="K44">
        <f>_xlfn.XLOOKUP(G44, Table1[Salesperson],Table1[Bonus Rate],"NOT FOUND")</f>
        <v>0.04</v>
      </c>
    </row>
    <row r="45" spans="1:11" ht="14.25" hidden="1">
      <c r="A45" t="s">
        <v>46</v>
      </c>
      <c r="B45" t="s">
        <v>71</v>
      </c>
      <c r="C45" t="s">
        <v>68</v>
      </c>
      <c r="D45">
        <v>1</v>
      </c>
      <c r="E45">
        <v>45</v>
      </c>
      <c r="F45">
        <v>101</v>
      </c>
      <c r="G45" t="s">
        <v>7</v>
      </c>
      <c r="H45" t="s">
        <v>12</v>
      </c>
    </row>
    <row r="46" spans="1:11" ht="14.25" hidden="1">
      <c r="A46" t="s">
        <v>56</v>
      </c>
      <c r="B46" t="s">
        <v>72</v>
      </c>
      <c r="C46" t="s">
        <v>73</v>
      </c>
      <c r="D46">
        <v>5</v>
      </c>
      <c r="E46">
        <v>45</v>
      </c>
      <c r="F46">
        <v>94</v>
      </c>
      <c r="G46" t="s">
        <v>5</v>
      </c>
      <c r="H46" t="s">
        <v>12</v>
      </c>
    </row>
    <row r="47" spans="1:11" ht="14.25">
      <c r="A47" t="s">
        <v>30</v>
      </c>
      <c r="B47" t="s">
        <v>72</v>
      </c>
      <c r="C47" t="s">
        <v>73</v>
      </c>
      <c r="D47">
        <v>7</v>
      </c>
      <c r="E47">
        <v>39</v>
      </c>
      <c r="F47">
        <v>93</v>
      </c>
      <c r="G47" t="s">
        <v>6</v>
      </c>
      <c r="H47" t="s">
        <v>12</v>
      </c>
      <c r="I47">
        <f t="shared" ref="I47:I48" si="8">D47*F47</f>
        <v>651</v>
      </c>
      <c r="J47" t="str">
        <f t="shared" ref="J47:J48" si="9">IF(I47&gt;600,"High","Normal")</f>
        <v>High</v>
      </c>
      <c r="K47" t="str">
        <f>_xlfn.XLOOKUP(G47, Table1[Salesperson],Table1[Bonus Rate],"NOT FOUND")</f>
        <v>NOT FOUND</v>
      </c>
    </row>
    <row r="48" spans="1:11" ht="14.25">
      <c r="A48" t="s">
        <v>37</v>
      </c>
      <c r="B48" t="s">
        <v>69</v>
      </c>
      <c r="C48" t="s">
        <v>70</v>
      </c>
      <c r="D48">
        <v>6</v>
      </c>
      <c r="E48">
        <v>38</v>
      </c>
      <c r="F48">
        <v>81</v>
      </c>
      <c r="G48" t="s">
        <v>3</v>
      </c>
      <c r="H48" t="s">
        <v>12</v>
      </c>
      <c r="I48">
        <f t="shared" si="8"/>
        <v>486</v>
      </c>
      <c r="J48" t="str">
        <f t="shared" si="9"/>
        <v>Normal</v>
      </c>
      <c r="K48">
        <f>_xlfn.XLOOKUP(G48, Table1[Salesperson],Table1[Bonus Rate],"NOT FOUND")</f>
        <v>0.05</v>
      </c>
    </row>
    <row r="49" spans="1:8" ht="14.25" hidden="1">
      <c r="A49" t="s">
        <v>77</v>
      </c>
      <c r="B49" t="s">
        <v>76</v>
      </c>
      <c r="C49" t="s">
        <v>68</v>
      </c>
      <c r="D49">
        <v>5</v>
      </c>
      <c r="E49">
        <v>43</v>
      </c>
      <c r="F49">
        <v>72</v>
      </c>
      <c r="G49" t="s">
        <v>3</v>
      </c>
      <c r="H49" t="s">
        <v>12</v>
      </c>
    </row>
    <row r="50" spans="1:8" ht="14.25" hidden="1">
      <c r="A50" t="s">
        <v>78</v>
      </c>
      <c r="B50" t="s">
        <v>69</v>
      </c>
      <c r="C50" t="s">
        <v>73</v>
      </c>
      <c r="D50">
        <v>1</v>
      </c>
      <c r="E50">
        <v>40</v>
      </c>
      <c r="F50">
        <v>71</v>
      </c>
      <c r="G50" t="s">
        <v>7</v>
      </c>
      <c r="H50" t="s">
        <v>12</v>
      </c>
    </row>
    <row r="51" spans="1:8" ht="14.25" hidden="1">
      <c r="A51" t="s">
        <v>28</v>
      </c>
      <c r="B51" t="s">
        <v>67</v>
      </c>
      <c r="C51" t="s">
        <v>70</v>
      </c>
      <c r="D51">
        <v>5</v>
      </c>
      <c r="E51">
        <v>26</v>
      </c>
      <c r="F51">
        <v>71</v>
      </c>
      <c r="G51" t="s">
        <v>5</v>
      </c>
      <c r="H51" t="s">
        <v>12</v>
      </c>
    </row>
  </sheetData>
  <autoFilter ref="D1:D51" xr:uid="{00000000-0001-0000-0000-000000000000}">
    <filterColumn colId="0">
      <customFilters>
        <customFilter operator="greaterThan" val="5"/>
      </customFilters>
    </filterColumn>
  </autoFilter>
  <sortState xmlns:xlrd2="http://schemas.microsoft.com/office/spreadsheetml/2017/richdata2" ref="A2:H51">
    <sortCondition ref="H2:H51"/>
  </sortState>
  <conditionalFormatting sqref="F3:F48">
    <cfRule type="cellIs" dxfId="1" priority="2" operator="greaterThan">
      <formula>95</formula>
    </cfRule>
  </conditionalFormatting>
  <conditionalFormatting sqref="F3:F48">
    <cfRule type="cellIs" dxfId="0" priority="1" operator="lessThan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0B1A-E7D3-4011-BDB2-AC5F0DBE8296}">
  <dimension ref="A2:B6"/>
  <sheetViews>
    <sheetView workbookViewId="0">
      <selection activeCell="A5" sqref="A5"/>
    </sheetView>
  </sheetViews>
  <sheetFormatPr defaultRowHeight="14.25"/>
  <cols>
    <col min="1" max="1" width="15.625" bestFit="1" customWidth="1"/>
    <col min="2" max="2" width="14.75" bestFit="1" customWidth="1"/>
  </cols>
  <sheetData>
    <row r="2" spans="1:2" ht="16.5">
      <c r="A2" s="4" t="s">
        <v>1</v>
      </c>
      <c r="B2" s="2" t="s">
        <v>66</v>
      </c>
    </row>
    <row r="3" spans="1:2">
      <c r="A3" t="s">
        <v>3</v>
      </c>
      <c r="B3" s="5">
        <v>0.05</v>
      </c>
    </row>
    <row r="4" spans="1:2">
      <c r="A4" t="s">
        <v>5</v>
      </c>
      <c r="B4" s="5">
        <v>0.06</v>
      </c>
    </row>
    <row r="5" spans="1:2">
      <c r="A5" t="s">
        <v>7</v>
      </c>
      <c r="B5" s="5">
        <v>0.04</v>
      </c>
    </row>
    <row r="6" spans="1:2">
      <c r="A6" t="s">
        <v>4</v>
      </c>
      <c r="B6" s="5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2026-03-26T17:05:05Z</dcterms:created>
  <dcterms:modified xsi:type="dcterms:W3CDTF">2026-03-26T19:35:59Z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2026-03-16T10:07:55Z</dcterms:created>
  <cp:revision>0</cp:revision>
</cp:coreProperties>
</file>